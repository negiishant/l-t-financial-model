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e3850a0a8423d2/Documents/"/>
    </mc:Choice>
  </mc:AlternateContent>
  <xr:revisionPtr revIDLastSave="0" documentId="8_{5702EDBC-D29A-3D45-8FDE-1AEB2EB9398F}" xr6:coauthVersionLast="47" xr6:coauthVersionMax="47" xr10:uidLastSave="{00000000-0000-0000-0000-000000000000}"/>
  <bookViews>
    <workbookView xWindow="-110" yWindow="-110" windowWidth="19420" windowHeight="12300" activeTab="2" xr2:uid="{6C095352-5096-4A7C-B80B-3BE2037A23E7}"/>
  </bookViews>
  <sheets>
    <sheet name="index" sheetId="31" r:id="rId1"/>
    <sheet name="p&amp;L drivers" sheetId="7" r:id="rId2"/>
    <sheet name="bs drivers" sheetId="9" r:id="rId3"/>
    <sheet name="forcast" sheetId="8" r:id="rId4"/>
    <sheet name="3 statement model-&gt;" sheetId="29" r:id="rId5"/>
    <sheet name="income statement" sheetId="23" r:id="rId6"/>
    <sheet name="cashflow1" sheetId="6" r:id="rId7"/>
    <sheet name="balance sheet1" sheetId="5" r:id="rId8"/>
    <sheet name="valuation-&gt;" sheetId="28" r:id="rId9"/>
    <sheet name="wacc" sheetId="24" r:id="rId10"/>
    <sheet name="dcf" sheetId="25" r:id="rId11"/>
    <sheet name="cca" sheetId="26" r:id="rId12"/>
    <sheet name="raw data -&gt;" sheetId="27" r:id="rId13"/>
    <sheet name="p&amp;l" sheetId="1" r:id="rId14"/>
    <sheet name="bs" sheetId="2" r:id="rId15"/>
    <sheet name="cf" sheetId="3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5" l="1"/>
  <c r="C19" i="25"/>
  <c r="C20" i="25"/>
  <c r="C21" i="25"/>
  <c r="C23" i="25"/>
  <c r="O30" i="26"/>
  <c r="H7" i="26"/>
  <c r="O31" i="26"/>
  <c r="J25" i="26"/>
  <c r="N25" i="26"/>
  <c r="D18" i="26"/>
  <c r="F18" i="26"/>
  <c r="G18" i="26"/>
  <c r="K18" i="26"/>
  <c r="L18" i="26"/>
  <c r="M18" i="26"/>
  <c r="M22" i="26"/>
  <c r="D22" i="26"/>
  <c r="F22" i="26"/>
  <c r="G22" i="26"/>
  <c r="K22" i="26"/>
  <c r="L22" i="26"/>
  <c r="C22" i="26"/>
  <c r="L20" i="26"/>
  <c r="M20" i="26"/>
  <c r="K20" i="26"/>
  <c r="D20" i="26"/>
  <c r="F20" i="26"/>
  <c r="G20" i="26"/>
  <c r="C20" i="26"/>
  <c r="D19" i="26"/>
  <c r="D25" i="26"/>
  <c r="F19" i="26"/>
  <c r="F25" i="26"/>
  <c r="G19" i="26"/>
  <c r="G25" i="26"/>
  <c r="K19" i="26"/>
  <c r="K25" i="26"/>
  <c r="L19" i="26"/>
  <c r="L25" i="26"/>
  <c r="M19" i="26"/>
  <c r="M25" i="26"/>
  <c r="C19" i="26"/>
  <c r="C25" i="26"/>
  <c r="C18" i="26"/>
  <c r="D17" i="26"/>
  <c r="F17" i="26"/>
  <c r="G17" i="26"/>
  <c r="K17" i="26"/>
  <c r="L17" i="26"/>
  <c r="M17" i="26"/>
  <c r="C17" i="26"/>
  <c r="I10" i="7"/>
  <c r="J10" i="7"/>
  <c r="K10" i="7"/>
  <c r="L10" i="7"/>
  <c r="H10" i="7"/>
  <c r="I14" i="7"/>
  <c r="J14" i="7"/>
  <c r="K14" i="7"/>
  <c r="L14" i="7"/>
  <c r="H14" i="7"/>
  <c r="I15" i="7"/>
  <c r="H16" i="7"/>
  <c r="H15" i="7"/>
  <c r="I19" i="7"/>
  <c r="J19" i="7"/>
  <c r="K19" i="7"/>
  <c r="L19" i="7"/>
  <c r="I8" i="7"/>
  <c r="J8" i="7"/>
  <c r="K8" i="7"/>
  <c r="L8" i="7"/>
  <c r="H8" i="7"/>
  <c r="M22" i="8"/>
  <c r="N22" i="8"/>
  <c r="H9" i="7"/>
  <c r="I174" i="9"/>
  <c r="J174" i="9"/>
  <c r="K174" i="9"/>
  <c r="L174" i="9"/>
  <c r="H174" i="9"/>
  <c r="I134" i="9"/>
  <c r="J134" i="9"/>
  <c r="K134" i="9"/>
  <c r="L134" i="9"/>
  <c r="H134" i="9"/>
  <c r="I126" i="9"/>
  <c r="J126" i="9"/>
  <c r="K126" i="9"/>
  <c r="L126" i="9"/>
  <c r="H126" i="9"/>
  <c r="H127" i="9"/>
  <c r="H128" i="9"/>
  <c r="I62" i="9"/>
  <c r="J62" i="9"/>
  <c r="K62" i="9"/>
  <c r="L62" i="9"/>
  <c r="H62" i="9"/>
  <c r="K78" i="9"/>
  <c r="I94" i="9"/>
  <c r="J94" i="9"/>
  <c r="K94" i="9"/>
  <c r="L94" i="9"/>
  <c r="H94" i="9"/>
  <c r="D5" i="25"/>
  <c r="I97" i="9"/>
  <c r="J97" i="9"/>
  <c r="K97" i="9"/>
  <c r="L97" i="9"/>
  <c r="H97" i="9"/>
  <c r="I89" i="9"/>
  <c r="J89" i="9"/>
  <c r="K89" i="9"/>
  <c r="L89" i="9"/>
  <c r="H89" i="9"/>
  <c r="H26" i="7"/>
  <c r="H19" i="7"/>
  <c r="I20" i="7"/>
  <c r="J20" i="7"/>
  <c r="K20" i="7"/>
  <c r="L20" i="7"/>
  <c r="H20" i="7"/>
  <c r="R16" i="8"/>
  <c r="E7" i="26"/>
  <c r="M21" i="26"/>
  <c r="F21" i="26"/>
  <c r="L21" i="26"/>
  <c r="D21" i="26"/>
  <c r="K21" i="26"/>
  <c r="G21" i="26"/>
  <c r="C21" i="26"/>
  <c r="J15" i="7"/>
  <c r="L15" i="7"/>
  <c r="K15" i="7"/>
  <c r="I16" i="7"/>
  <c r="H13" i="7"/>
  <c r="D19" i="24"/>
  <c r="D9" i="24"/>
  <c r="C76" i="5"/>
  <c r="I7" i="26"/>
  <c r="L16" i="7"/>
  <c r="J16" i="7"/>
  <c r="Q16" i="26"/>
  <c r="H16" i="26"/>
  <c r="I16" i="26"/>
  <c r="E16" i="26"/>
  <c r="Q15" i="26"/>
  <c r="H15" i="26"/>
  <c r="I15" i="26"/>
  <c r="E15" i="26"/>
  <c r="Q14" i="26"/>
  <c r="H14" i="26"/>
  <c r="I14" i="26"/>
  <c r="E14" i="26"/>
  <c r="Q13" i="26"/>
  <c r="H13" i="26"/>
  <c r="I13" i="26"/>
  <c r="E13" i="26"/>
  <c r="Q12" i="26"/>
  <c r="H12" i="26"/>
  <c r="I12" i="26"/>
  <c r="E12" i="26"/>
  <c r="Q11" i="26"/>
  <c r="H11" i="26"/>
  <c r="I11" i="26"/>
  <c r="E11" i="26"/>
  <c r="Q10" i="26"/>
  <c r="H10" i="26"/>
  <c r="I10" i="26"/>
  <c r="E10" i="26"/>
  <c r="Q9" i="26"/>
  <c r="H9" i="26"/>
  <c r="I9" i="26"/>
  <c r="E9" i="26"/>
  <c r="Q8" i="26"/>
  <c r="H8" i="26"/>
  <c r="I8" i="26"/>
  <c r="E8" i="26"/>
  <c r="Q7" i="26"/>
  <c r="P31" i="26"/>
  <c r="Q31" i="26"/>
  <c r="O33" i="26"/>
  <c r="P33" i="26"/>
  <c r="Q33" i="26"/>
  <c r="H19" i="26"/>
  <c r="H25" i="26"/>
  <c r="I17" i="26"/>
  <c r="I22" i="26"/>
  <c r="I19" i="26"/>
  <c r="I25" i="26"/>
  <c r="I20" i="26"/>
  <c r="I18" i="26"/>
  <c r="H18" i="26"/>
  <c r="H22" i="26"/>
  <c r="H20" i="26"/>
  <c r="E19" i="26"/>
  <c r="E25" i="26"/>
  <c r="E20" i="26"/>
  <c r="E18" i="26"/>
  <c r="E17" i="26"/>
  <c r="E22" i="26"/>
  <c r="H17" i="26"/>
  <c r="P10" i="26"/>
  <c r="O10" i="26"/>
  <c r="P14" i="26"/>
  <c r="O14" i="26"/>
  <c r="Q19" i="26"/>
  <c r="K16" i="7"/>
  <c r="O12" i="26"/>
  <c r="P12" i="26"/>
  <c r="O8" i="26"/>
  <c r="P8" i="26"/>
  <c r="P13" i="26"/>
  <c r="O13" i="26"/>
  <c r="P9" i="26"/>
  <c r="O9" i="26"/>
  <c r="P11" i="26"/>
  <c r="O11" i="26"/>
  <c r="P15" i="26"/>
  <c r="O15" i="26"/>
  <c r="P16" i="26"/>
  <c r="O16" i="26"/>
  <c r="Q20" i="26"/>
  <c r="Q22" i="26"/>
  <c r="Q17" i="26"/>
  <c r="Q18" i="26"/>
  <c r="Q21" i="26"/>
  <c r="Q32" i="26"/>
  <c r="Q34" i="26"/>
  <c r="Q25" i="26"/>
  <c r="Q30" i="26"/>
  <c r="I21" i="26"/>
  <c r="H21" i="26"/>
  <c r="E21" i="26"/>
  <c r="P7" i="26"/>
  <c r="O7" i="26"/>
  <c r="P22" i="26"/>
  <c r="P17" i="26"/>
  <c r="P19" i="26"/>
  <c r="P21" i="26"/>
  <c r="P18" i="26"/>
  <c r="P20" i="26"/>
  <c r="O17" i="26"/>
  <c r="O22" i="26"/>
  <c r="O19" i="26"/>
  <c r="O25" i="26"/>
  <c r="O32" i="26"/>
  <c r="O34" i="26"/>
  <c r="O21" i="26"/>
  <c r="O18" i="26"/>
  <c r="O20" i="26"/>
  <c r="P25" i="26"/>
  <c r="P30" i="26"/>
  <c r="P32" i="26"/>
  <c r="P34" i="26"/>
  <c r="D16" i="24"/>
  <c r="C248" i="9"/>
  <c r="F248" i="9"/>
  <c r="E248" i="9"/>
  <c r="D248" i="9"/>
  <c r="H30" i="5"/>
  <c r="H53" i="9"/>
  <c r="L37" i="9"/>
  <c r="L78" i="9"/>
  <c r="K37" i="9"/>
  <c r="J37" i="9"/>
  <c r="J78" i="9"/>
  <c r="I37" i="9"/>
  <c r="I78" i="9"/>
  <c r="H37" i="9"/>
  <c r="H78" i="9"/>
  <c r="H79" i="9"/>
  <c r="D53" i="3"/>
  <c r="E53" i="3"/>
  <c r="F53" i="3"/>
  <c r="G53" i="3"/>
  <c r="C53" i="3"/>
  <c r="F24" i="7"/>
  <c r="C24" i="7"/>
  <c r="D18" i="23"/>
  <c r="E18" i="23"/>
  <c r="F18" i="23"/>
  <c r="G18" i="23"/>
  <c r="D20" i="23"/>
  <c r="D24" i="7"/>
  <c r="E20" i="23"/>
  <c r="E24" i="7"/>
  <c r="F20" i="23"/>
  <c r="G20" i="23"/>
  <c r="D22" i="23"/>
  <c r="E22" i="23"/>
  <c r="F22" i="23"/>
  <c r="G22" i="23"/>
  <c r="H22" i="23"/>
  <c r="I22" i="23"/>
  <c r="J22" i="23"/>
  <c r="K22" i="23"/>
  <c r="L22" i="23"/>
  <c r="C22" i="23"/>
  <c r="C20" i="23"/>
  <c r="C18" i="23"/>
  <c r="C225" i="9"/>
  <c r="D16" i="23"/>
  <c r="D8" i="6"/>
  <c r="E16" i="23"/>
  <c r="E8" i="6"/>
  <c r="F16" i="23"/>
  <c r="F8" i="6"/>
  <c r="G16" i="23"/>
  <c r="G8" i="6"/>
  <c r="C16" i="23"/>
  <c r="D12" i="23"/>
  <c r="D22" i="7"/>
  <c r="E12" i="23"/>
  <c r="E22" i="7"/>
  <c r="F12" i="23"/>
  <c r="F22" i="7"/>
  <c r="G12" i="23"/>
  <c r="G22" i="7"/>
  <c r="C12" i="23"/>
  <c r="C22" i="7"/>
  <c r="D11" i="23"/>
  <c r="E11" i="23"/>
  <c r="E19" i="7"/>
  <c r="F11" i="23"/>
  <c r="F14" i="23"/>
  <c r="G11" i="23"/>
  <c r="D13" i="23"/>
  <c r="E13" i="23"/>
  <c r="F13" i="23"/>
  <c r="F20" i="7"/>
  <c r="G13" i="23"/>
  <c r="G20" i="7"/>
  <c r="C13" i="23"/>
  <c r="C11" i="23"/>
  <c r="C14" i="23"/>
  <c r="D9" i="23"/>
  <c r="D202" i="9"/>
  <c r="D206" i="9"/>
  <c r="E9" i="23"/>
  <c r="E202" i="9"/>
  <c r="E206" i="9"/>
  <c r="E207" i="9"/>
  <c r="F9" i="23"/>
  <c r="F202" i="9"/>
  <c r="F206" i="9"/>
  <c r="G9" i="23"/>
  <c r="G202" i="9"/>
  <c r="G206" i="9"/>
  <c r="G207" i="9"/>
  <c r="C9" i="23"/>
  <c r="C202" i="9"/>
  <c r="C206" i="9"/>
  <c r="D7" i="23"/>
  <c r="E7" i="23"/>
  <c r="F7" i="23"/>
  <c r="G7" i="23"/>
  <c r="H7" i="23"/>
  <c r="I7" i="23"/>
  <c r="J7" i="23"/>
  <c r="K7" i="23"/>
  <c r="L7" i="23"/>
  <c r="C7" i="23"/>
  <c r="D6" i="23"/>
  <c r="D11" i="9"/>
  <c r="E6" i="23"/>
  <c r="E11" i="9"/>
  <c r="F6" i="23"/>
  <c r="F11" i="9"/>
  <c r="G6" i="23"/>
  <c r="G11" i="9"/>
  <c r="C6" i="23"/>
  <c r="C11" i="9"/>
  <c r="L28" i="23"/>
  <c r="K28" i="23"/>
  <c r="J28" i="23"/>
  <c r="I28" i="23"/>
  <c r="H28" i="23"/>
  <c r="D5" i="23"/>
  <c r="E5" i="23"/>
  <c r="F5" i="23"/>
  <c r="G5" i="23"/>
  <c r="H5" i="23"/>
  <c r="I5" i="23"/>
  <c r="J5" i="23"/>
  <c r="K5" i="23"/>
  <c r="L5" i="23"/>
  <c r="D6" i="7"/>
  <c r="E6" i="7"/>
  <c r="F6" i="7"/>
  <c r="G6" i="7"/>
  <c r="C6" i="7"/>
  <c r="D19" i="7"/>
  <c r="C13" i="7"/>
  <c r="C15" i="7"/>
  <c r="G13" i="7"/>
  <c r="D20" i="7"/>
  <c r="G19" i="7"/>
  <c r="F198" i="9"/>
  <c r="F190" i="9"/>
  <c r="C198" i="9"/>
  <c r="C190" i="9"/>
  <c r="G49" i="6"/>
  <c r="G9" i="6"/>
  <c r="G225" i="9"/>
  <c r="D13" i="7"/>
  <c r="E7" i="9"/>
  <c r="G14" i="23"/>
  <c r="E13" i="7"/>
  <c r="E20" i="7"/>
  <c r="F7" i="9"/>
  <c r="E14" i="23"/>
  <c r="G10" i="6"/>
  <c r="G55" i="6"/>
  <c r="F9" i="6"/>
  <c r="F49" i="6"/>
  <c r="F225" i="9"/>
  <c r="D7" i="9"/>
  <c r="D14" i="23"/>
  <c r="F10" i="6"/>
  <c r="F55" i="6"/>
  <c r="E49" i="6"/>
  <c r="E9" i="6"/>
  <c r="E225" i="9"/>
  <c r="F19" i="7"/>
  <c r="E10" i="6"/>
  <c r="E55" i="6"/>
  <c r="D49" i="6"/>
  <c r="D9" i="6"/>
  <c r="D225" i="9"/>
  <c r="D10" i="6"/>
  <c r="D55" i="6"/>
  <c r="C7" i="9"/>
  <c r="F13" i="7"/>
  <c r="G24" i="7"/>
  <c r="G7" i="9"/>
  <c r="G8" i="23"/>
  <c r="F8" i="23"/>
  <c r="E8" i="23"/>
  <c r="D8" i="23"/>
  <c r="C8" i="23"/>
  <c r="H11" i="23"/>
  <c r="D190" i="9"/>
  <c r="D198" i="9"/>
  <c r="E10" i="23"/>
  <c r="E15" i="23"/>
  <c r="E17" i="23"/>
  <c r="E19" i="23"/>
  <c r="E232" i="9"/>
  <c r="D10" i="23"/>
  <c r="D15" i="23"/>
  <c r="D17" i="23"/>
  <c r="D19" i="23"/>
  <c r="D232" i="9"/>
  <c r="G10" i="23"/>
  <c r="G15" i="23"/>
  <c r="G17" i="23"/>
  <c r="G19" i="23"/>
  <c r="G232" i="9"/>
  <c r="G198" i="9"/>
  <c r="G190" i="9"/>
  <c r="C10" i="23"/>
  <c r="C232" i="9"/>
  <c r="E198" i="9"/>
  <c r="E190" i="9"/>
  <c r="F10" i="23"/>
  <c r="F15" i="23"/>
  <c r="F17" i="23"/>
  <c r="F19" i="23"/>
  <c r="F232" i="9"/>
  <c r="F233" i="9"/>
  <c r="C15" i="23"/>
  <c r="C17" i="23"/>
  <c r="C19" i="23"/>
  <c r="H251" i="9"/>
  <c r="H78" i="5"/>
  <c r="H42" i="6"/>
  <c r="G248" i="9"/>
  <c r="H246" i="9"/>
  <c r="H248" i="9"/>
  <c r="F184" i="9"/>
  <c r="E184" i="9"/>
  <c r="D184" i="9"/>
  <c r="G184" i="9"/>
  <c r="C184" i="9"/>
  <c r="G182" i="9"/>
  <c r="F182" i="9"/>
  <c r="E182" i="9"/>
  <c r="D182" i="9"/>
  <c r="C182" i="9"/>
  <c r="G181" i="9"/>
  <c r="F181" i="9"/>
  <c r="E181" i="9"/>
  <c r="D181" i="9"/>
  <c r="C181" i="9"/>
  <c r="H173" i="9"/>
  <c r="H165" i="9"/>
  <c r="H168" i="9"/>
  <c r="H170" i="9"/>
  <c r="H167" i="9"/>
  <c r="H157" i="9"/>
  <c r="L150" i="9"/>
  <c r="K150" i="9"/>
  <c r="J150" i="9"/>
  <c r="I150" i="9"/>
  <c r="H150" i="9"/>
  <c r="H149" i="9"/>
  <c r="H151" i="9"/>
  <c r="L142" i="9"/>
  <c r="K142" i="9"/>
  <c r="J142" i="9"/>
  <c r="I142" i="9"/>
  <c r="H142" i="9"/>
  <c r="H141" i="9"/>
  <c r="H143" i="9"/>
  <c r="H133" i="9"/>
  <c r="H135" i="9"/>
  <c r="H125" i="9"/>
  <c r="L118" i="9"/>
  <c r="K118" i="9"/>
  <c r="J118" i="9"/>
  <c r="I118" i="9"/>
  <c r="H118" i="9"/>
  <c r="H117" i="9"/>
  <c r="L110" i="9"/>
  <c r="K110" i="9"/>
  <c r="J110" i="9"/>
  <c r="I110" i="9"/>
  <c r="H110" i="9"/>
  <c r="H109" i="9"/>
  <c r="H111" i="9"/>
  <c r="H112" i="9"/>
  <c r="H101" i="9"/>
  <c r="H103" i="9"/>
  <c r="L102" i="9"/>
  <c r="K102" i="9"/>
  <c r="J102" i="9"/>
  <c r="I102" i="9"/>
  <c r="H102" i="9"/>
  <c r="H93" i="9"/>
  <c r="H95" i="9"/>
  <c r="H96" i="9"/>
  <c r="L86" i="9"/>
  <c r="K86" i="9"/>
  <c r="J86" i="9"/>
  <c r="I86" i="9"/>
  <c r="H86" i="9"/>
  <c r="H85" i="9"/>
  <c r="H77" i="9"/>
  <c r="H69" i="9"/>
  <c r="L70" i="9"/>
  <c r="K70" i="9"/>
  <c r="J70" i="9"/>
  <c r="I70" i="9"/>
  <c r="H70" i="9"/>
  <c r="H61" i="9"/>
  <c r="L53" i="9"/>
  <c r="K53" i="9"/>
  <c r="J53" i="9"/>
  <c r="I53" i="9"/>
  <c r="G4" i="9"/>
  <c r="H4" i="9"/>
  <c r="I4" i="9"/>
  <c r="J4" i="9"/>
  <c r="K4" i="9"/>
  <c r="L4" i="9"/>
  <c r="D4" i="9"/>
  <c r="E4" i="9"/>
  <c r="F4" i="9"/>
  <c r="H104" i="9"/>
  <c r="G21" i="23"/>
  <c r="G25" i="7"/>
  <c r="D21" i="23"/>
  <c r="D25" i="7"/>
  <c r="F21" i="23"/>
  <c r="F25" i="7"/>
  <c r="C21" i="23"/>
  <c r="C25" i="7"/>
  <c r="E25" i="7"/>
  <c r="E21" i="23"/>
  <c r="H175" i="9"/>
  <c r="H176" i="9"/>
  <c r="C23" i="23"/>
  <c r="H159" i="9"/>
  <c r="H160" i="9"/>
  <c r="H171" i="9"/>
  <c r="I165" i="9"/>
  <c r="H63" i="9"/>
  <c r="H64" i="9"/>
  <c r="H66" i="9"/>
  <c r="G250" i="9"/>
  <c r="H152" i="9"/>
  <c r="H144" i="9"/>
  <c r="H119" i="9"/>
  <c r="H120" i="9"/>
  <c r="H123" i="9"/>
  <c r="D7" i="6"/>
  <c r="D24" i="23"/>
  <c r="D23" i="23"/>
  <c r="C24" i="23"/>
  <c r="C25" i="23"/>
  <c r="C7" i="6"/>
  <c r="E24" i="23"/>
  <c r="E23" i="23"/>
  <c r="E7" i="6"/>
  <c r="F7" i="6"/>
  <c r="F24" i="23"/>
  <c r="F23" i="23"/>
  <c r="G7" i="6"/>
  <c r="G23" i="23"/>
  <c r="G24" i="23"/>
  <c r="G48" i="6"/>
  <c r="H146" i="9"/>
  <c r="H147" i="9"/>
  <c r="I141" i="9"/>
  <c r="H122" i="9"/>
  <c r="D25" i="23"/>
  <c r="D48" i="6"/>
  <c r="G25" i="23"/>
  <c r="E25" i="23"/>
  <c r="E48" i="6"/>
  <c r="F25" i="23"/>
  <c r="F48" i="6"/>
  <c r="C7" i="7"/>
  <c r="S7" i="8"/>
  <c r="S15" i="8"/>
  <c r="G7" i="7"/>
  <c r="S14" i="8"/>
  <c r="F7" i="7"/>
  <c r="S13" i="8"/>
  <c r="E7" i="7"/>
  <c r="S12" i="8"/>
  <c r="D7" i="7"/>
  <c r="S11" i="8"/>
  <c r="S10" i="8"/>
  <c r="S9" i="8"/>
  <c r="S8" i="8"/>
  <c r="P6" i="8"/>
  <c r="P7" i="8"/>
  <c r="P8" i="8"/>
  <c r="P9" i="8"/>
  <c r="P10" i="8"/>
  <c r="P11" i="8"/>
  <c r="P12" i="8"/>
  <c r="P13" i="8"/>
  <c r="P14" i="8"/>
  <c r="G7" i="8"/>
  <c r="G8" i="8"/>
  <c r="G9" i="8"/>
  <c r="G10" i="8"/>
  <c r="G11" i="8"/>
  <c r="G12" i="8"/>
  <c r="G13" i="8"/>
  <c r="G14" i="8"/>
  <c r="G6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N23" i="8"/>
  <c r="I9" i="7"/>
  <c r="P15" i="8"/>
  <c r="G15" i="8"/>
  <c r="P16" i="8"/>
  <c r="S16" i="8"/>
  <c r="M23" i="8"/>
  <c r="N24" i="8"/>
  <c r="J9" i="7"/>
  <c r="G16" i="8"/>
  <c r="F15" i="8"/>
  <c r="P17" i="8"/>
  <c r="R17" i="8"/>
  <c r="S17" i="8"/>
  <c r="M24" i="8"/>
  <c r="N25" i="8"/>
  <c r="K9" i="7"/>
  <c r="G17" i="8"/>
  <c r="G18" i="8"/>
  <c r="G19" i="8"/>
  <c r="F16" i="8"/>
  <c r="P18" i="8"/>
  <c r="R18" i="8"/>
  <c r="S18" i="8"/>
  <c r="M25" i="8"/>
  <c r="N26" i="8"/>
  <c r="L9" i="7"/>
  <c r="F17" i="8"/>
  <c r="F18" i="8"/>
  <c r="F19" i="8"/>
  <c r="P19" i="8"/>
  <c r="R19" i="8"/>
  <c r="S19" i="8"/>
  <c r="M26" i="8"/>
  <c r="P20" i="8"/>
  <c r="R20" i="8"/>
  <c r="S20" i="8"/>
  <c r="H22" i="7"/>
  <c r="H7" i="7"/>
  <c r="H6" i="23"/>
  <c r="H11" i="9"/>
  <c r="H15" i="9"/>
  <c r="D4" i="7"/>
  <c r="E4" i="7"/>
  <c r="F4" i="7"/>
  <c r="G4" i="7"/>
  <c r="H4" i="7"/>
  <c r="I4" i="7"/>
  <c r="J4" i="7"/>
  <c r="K4" i="7"/>
  <c r="L4" i="7"/>
  <c r="G12" i="6"/>
  <c r="D12" i="6"/>
  <c r="C52" i="6"/>
  <c r="D5" i="6"/>
  <c r="E5" i="6"/>
  <c r="F5" i="6"/>
  <c r="G5" i="6"/>
  <c r="H5" i="6"/>
  <c r="I5" i="6"/>
  <c r="J5" i="6"/>
  <c r="K5" i="6"/>
  <c r="L5" i="6"/>
  <c r="D78" i="5"/>
  <c r="D42" i="6"/>
  <c r="E78" i="5"/>
  <c r="F78" i="5"/>
  <c r="G78" i="5"/>
  <c r="C78" i="5"/>
  <c r="G77" i="5"/>
  <c r="C77" i="5"/>
  <c r="D75" i="5"/>
  <c r="E75" i="5"/>
  <c r="E41" i="6"/>
  <c r="F75" i="5"/>
  <c r="F41" i="6"/>
  <c r="G75" i="5"/>
  <c r="D76" i="5"/>
  <c r="E76" i="5"/>
  <c r="E30" i="23"/>
  <c r="E29" i="23"/>
  <c r="E54" i="6"/>
  <c r="F76" i="5"/>
  <c r="F30" i="23"/>
  <c r="F29" i="23"/>
  <c r="F54" i="6"/>
  <c r="G76" i="5"/>
  <c r="C75" i="5"/>
  <c r="D64" i="5"/>
  <c r="E64" i="5"/>
  <c r="F64" i="5"/>
  <c r="G64" i="5"/>
  <c r="D65" i="5"/>
  <c r="E65" i="5"/>
  <c r="F65" i="5"/>
  <c r="F71" i="5"/>
  <c r="G65" i="5"/>
  <c r="D66" i="5"/>
  <c r="E66" i="5"/>
  <c r="F66" i="5"/>
  <c r="G66" i="5"/>
  <c r="D67" i="5"/>
  <c r="D238" i="9"/>
  <c r="E67" i="5"/>
  <c r="F67" i="5"/>
  <c r="G67" i="5"/>
  <c r="D68" i="5"/>
  <c r="E68" i="5"/>
  <c r="F68" i="5"/>
  <c r="G68" i="5"/>
  <c r="D69" i="5"/>
  <c r="E69" i="5"/>
  <c r="F69" i="5"/>
  <c r="G69" i="5"/>
  <c r="C69" i="5"/>
  <c r="C244" i="9"/>
  <c r="C65" i="5"/>
  <c r="C231" i="9"/>
  <c r="C233" i="9"/>
  <c r="C66" i="5"/>
  <c r="C236" i="9"/>
  <c r="C67" i="5"/>
  <c r="C238" i="9"/>
  <c r="C68" i="5"/>
  <c r="C240" i="9"/>
  <c r="C64" i="5"/>
  <c r="D59" i="5"/>
  <c r="D37" i="6"/>
  <c r="E59" i="5"/>
  <c r="F59" i="5"/>
  <c r="F37" i="6"/>
  <c r="G59" i="5"/>
  <c r="G37" i="6"/>
  <c r="C59" i="5"/>
  <c r="D54" i="5"/>
  <c r="E54" i="5"/>
  <c r="F54" i="5"/>
  <c r="G54" i="5"/>
  <c r="D55" i="5"/>
  <c r="E55" i="5"/>
  <c r="F55" i="5"/>
  <c r="G55" i="5"/>
  <c r="D56" i="5"/>
  <c r="E56" i="5"/>
  <c r="F56" i="5"/>
  <c r="G56" i="5"/>
  <c r="D57" i="5"/>
  <c r="E57" i="5"/>
  <c r="F57" i="5"/>
  <c r="G57" i="5"/>
  <c r="C57" i="5"/>
  <c r="C216" i="9"/>
  <c r="C55" i="5"/>
  <c r="C212" i="9"/>
  <c r="C56" i="5"/>
  <c r="C214" i="9"/>
  <c r="C54" i="5"/>
  <c r="C210" i="9"/>
  <c r="D51" i="5"/>
  <c r="E51" i="5"/>
  <c r="F51" i="5"/>
  <c r="G51" i="5"/>
  <c r="D52" i="5"/>
  <c r="E52" i="5"/>
  <c r="F52" i="5"/>
  <c r="F53" i="5"/>
  <c r="G52" i="5"/>
  <c r="C52" i="5"/>
  <c r="C205" i="9"/>
  <c r="C207" i="9"/>
  <c r="C51" i="5"/>
  <c r="C201" i="9"/>
  <c r="C203" i="9"/>
  <c r="D47" i="5"/>
  <c r="E47" i="5"/>
  <c r="F47" i="5"/>
  <c r="G47" i="5"/>
  <c r="D48" i="5"/>
  <c r="E48" i="5"/>
  <c r="F48" i="5"/>
  <c r="G48" i="5"/>
  <c r="D49" i="5"/>
  <c r="E49" i="5"/>
  <c r="F49" i="5"/>
  <c r="G49" i="5"/>
  <c r="C49" i="5"/>
  <c r="C197" i="9"/>
  <c r="C199" i="9"/>
  <c r="C48" i="5"/>
  <c r="C193" i="9"/>
  <c r="C47" i="5"/>
  <c r="C189" i="9"/>
  <c r="C191" i="9"/>
  <c r="D38" i="5"/>
  <c r="E38" i="5"/>
  <c r="F38" i="5"/>
  <c r="G38" i="5"/>
  <c r="H38" i="5"/>
  <c r="I38" i="5"/>
  <c r="J38" i="5"/>
  <c r="K38" i="5"/>
  <c r="L38" i="5"/>
  <c r="D39" i="5"/>
  <c r="E39" i="5"/>
  <c r="F39" i="5"/>
  <c r="G39" i="5"/>
  <c r="H39" i="5"/>
  <c r="I39" i="5"/>
  <c r="J39" i="5"/>
  <c r="K39" i="5"/>
  <c r="L39" i="5"/>
  <c r="D40" i="5"/>
  <c r="E40" i="5"/>
  <c r="F40" i="5"/>
  <c r="G40" i="5"/>
  <c r="C40" i="5"/>
  <c r="C39" i="5"/>
  <c r="C38" i="5"/>
  <c r="D37" i="5"/>
  <c r="E37" i="5"/>
  <c r="F37" i="5"/>
  <c r="G37" i="5"/>
  <c r="C37" i="5"/>
  <c r="D36" i="5"/>
  <c r="E36" i="5"/>
  <c r="F36" i="5"/>
  <c r="G36" i="5"/>
  <c r="C36" i="5"/>
  <c r="D35" i="5"/>
  <c r="E35" i="5"/>
  <c r="F35" i="5"/>
  <c r="G35" i="5"/>
  <c r="C35" i="5"/>
  <c r="D34" i="5"/>
  <c r="E34" i="5"/>
  <c r="F34" i="5"/>
  <c r="G34" i="5"/>
  <c r="C34" i="5"/>
  <c r="D33" i="5"/>
  <c r="E33" i="5"/>
  <c r="F33" i="5"/>
  <c r="G33" i="5"/>
  <c r="C33" i="5"/>
  <c r="D32" i="5"/>
  <c r="E32" i="5"/>
  <c r="F32" i="5"/>
  <c r="G32" i="5"/>
  <c r="C32" i="5"/>
  <c r="D31" i="5"/>
  <c r="E31" i="5"/>
  <c r="F31" i="5"/>
  <c r="G31" i="5"/>
  <c r="C31" i="5"/>
  <c r="D30" i="5"/>
  <c r="E30" i="5"/>
  <c r="F30" i="5"/>
  <c r="G30" i="5"/>
  <c r="C30" i="5"/>
  <c r="D29" i="5"/>
  <c r="E29" i="5"/>
  <c r="F29" i="5"/>
  <c r="G29" i="5"/>
  <c r="C29" i="5"/>
  <c r="C41" i="5"/>
  <c r="D27" i="5"/>
  <c r="D28" i="5"/>
  <c r="E27" i="5"/>
  <c r="F27" i="5"/>
  <c r="G27" i="5"/>
  <c r="C27" i="5"/>
  <c r="D26" i="5"/>
  <c r="E26" i="5"/>
  <c r="F26" i="5"/>
  <c r="G26" i="5"/>
  <c r="C26" i="5"/>
  <c r="C28" i="5"/>
  <c r="D23" i="5"/>
  <c r="D58" i="9"/>
  <c r="E23" i="5"/>
  <c r="E58" i="9"/>
  <c r="F23" i="5"/>
  <c r="F58" i="9"/>
  <c r="G23" i="5"/>
  <c r="G58" i="9"/>
  <c r="H52" i="9"/>
  <c r="D24" i="5"/>
  <c r="D25" i="5"/>
  <c r="E24" i="5"/>
  <c r="E25" i="5"/>
  <c r="F29" i="6"/>
  <c r="F38" i="6"/>
  <c r="F24" i="5"/>
  <c r="F25" i="5"/>
  <c r="G29" i="6"/>
  <c r="G24" i="5"/>
  <c r="G25" i="5"/>
  <c r="C24" i="5"/>
  <c r="C23" i="5"/>
  <c r="C58" i="9"/>
  <c r="D17" i="5"/>
  <c r="E17" i="5"/>
  <c r="F17" i="5"/>
  <c r="G36" i="6"/>
  <c r="G17" i="5"/>
  <c r="H17" i="5"/>
  <c r="C17" i="5"/>
  <c r="D36" i="6"/>
  <c r="D7" i="5"/>
  <c r="D6" i="9"/>
  <c r="E7" i="5"/>
  <c r="E6" i="9"/>
  <c r="F7" i="5"/>
  <c r="F6" i="9"/>
  <c r="G7" i="5"/>
  <c r="G6" i="9"/>
  <c r="G8" i="9"/>
  <c r="D8" i="5"/>
  <c r="E8" i="5"/>
  <c r="F8" i="5"/>
  <c r="F16" i="5"/>
  <c r="F20" i="5"/>
  <c r="G8" i="5"/>
  <c r="D9" i="5"/>
  <c r="D14" i="9"/>
  <c r="D16" i="9"/>
  <c r="E9" i="5"/>
  <c r="E14" i="9"/>
  <c r="F9" i="5"/>
  <c r="F14" i="9"/>
  <c r="G9" i="5"/>
  <c r="G14" i="9"/>
  <c r="D10" i="5"/>
  <c r="E53" i="6"/>
  <c r="E10" i="5"/>
  <c r="F53" i="6"/>
  <c r="F10" i="5"/>
  <c r="G53" i="6"/>
  <c r="G10" i="5"/>
  <c r="D11" i="5"/>
  <c r="D18" i="9"/>
  <c r="E11" i="5"/>
  <c r="E18" i="9"/>
  <c r="F11" i="5"/>
  <c r="F18" i="9"/>
  <c r="G11" i="5"/>
  <c r="G18" i="9"/>
  <c r="D12" i="5"/>
  <c r="E12" i="5"/>
  <c r="F12" i="5"/>
  <c r="G12" i="5"/>
  <c r="D13" i="5"/>
  <c r="E13" i="5"/>
  <c r="F13" i="5"/>
  <c r="G13" i="5"/>
  <c r="D14" i="5"/>
  <c r="D26" i="9"/>
  <c r="E14" i="5"/>
  <c r="E26" i="9"/>
  <c r="F14" i="5"/>
  <c r="F26" i="9"/>
  <c r="G14" i="5"/>
  <c r="D15" i="5"/>
  <c r="E15" i="5"/>
  <c r="F15" i="5"/>
  <c r="G15" i="5"/>
  <c r="C14" i="5"/>
  <c r="C26" i="9"/>
  <c r="C15" i="5"/>
  <c r="C13" i="5"/>
  <c r="C11" i="5"/>
  <c r="C18" i="9"/>
  <c r="C12" i="5"/>
  <c r="C8" i="5"/>
  <c r="C9" i="5"/>
  <c r="C14" i="9"/>
  <c r="C10" i="5"/>
  <c r="D53" i="6"/>
  <c r="C7" i="5"/>
  <c r="C6" i="9"/>
  <c r="D71" i="5"/>
  <c r="H59" i="5"/>
  <c r="D53" i="5"/>
  <c r="D58" i="5"/>
  <c r="D61" i="5"/>
  <c r="G53" i="5"/>
  <c r="G28" i="5"/>
  <c r="D16" i="5"/>
  <c r="E16" i="5"/>
  <c r="E20" i="5"/>
  <c r="D5" i="5"/>
  <c r="E5" i="5"/>
  <c r="F5" i="5"/>
  <c r="G5" i="5"/>
  <c r="H5" i="5"/>
  <c r="I5" i="5"/>
  <c r="J5" i="5"/>
  <c r="K5" i="5"/>
  <c r="L5" i="5"/>
  <c r="D8" i="9"/>
  <c r="E8" i="9"/>
  <c r="F8" i="9"/>
  <c r="I22" i="7"/>
  <c r="H12" i="23"/>
  <c r="I17" i="5"/>
  <c r="I36" i="6"/>
  <c r="F33" i="6"/>
  <c r="E22" i="9"/>
  <c r="F32" i="6"/>
  <c r="E10" i="9"/>
  <c r="E12" i="9"/>
  <c r="G47" i="6"/>
  <c r="G197" i="9"/>
  <c r="G199" i="9"/>
  <c r="G45" i="6"/>
  <c r="G189" i="9"/>
  <c r="G191" i="9"/>
  <c r="H191" i="9"/>
  <c r="E18" i="6"/>
  <c r="E205" i="9"/>
  <c r="F214" i="9"/>
  <c r="F24" i="6"/>
  <c r="F22" i="6"/>
  <c r="F210" i="9"/>
  <c r="C71" i="5"/>
  <c r="C224" i="9"/>
  <c r="D220" i="9"/>
  <c r="D222" i="9"/>
  <c r="D223" i="9"/>
  <c r="C194" i="9"/>
  <c r="E15" i="6"/>
  <c r="E238" i="9"/>
  <c r="E44" i="6"/>
  <c r="E231" i="9"/>
  <c r="E233" i="9"/>
  <c r="E29" i="6"/>
  <c r="E38" i="6"/>
  <c r="F45" i="6"/>
  <c r="F189" i="9"/>
  <c r="F191" i="9"/>
  <c r="E24" i="6"/>
  <c r="E214" i="9"/>
  <c r="E22" i="6"/>
  <c r="E210" i="9"/>
  <c r="D244" i="9"/>
  <c r="D21" i="6"/>
  <c r="D44" i="6"/>
  <c r="D231" i="9"/>
  <c r="D233" i="9"/>
  <c r="F77" i="5"/>
  <c r="F12" i="6"/>
  <c r="F14" i="6"/>
  <c r="E71" i="5"/>
  <c r="G28" i="9"/>
  <c r="H28" i="9"/>
  <c r="G24" i="9"/>
  <c r="H24" i="9"/>
  <c r="E36" i="6"/>
  <c r="H54" i="9"/>
  <c r="H55" i="9"/>
  <c r="E47" i="6"/>
  <c r="E197" i="9"/>
  <c r="E199" i="9"/>
  <c r="E45" i="6"/>
  <c r="E189" i="9"/>
  <c r="E191" i="9"/>
  <c r="G17" i="6"/>
  <c r="G201" i="9"/>
  <c r="G203" i="9"/>
  <c r="D24" i="6"/>
  <c r="D214" i="9"/>
  <c r="D22" i="6"/>
  <c r="D210" i="9"/>
  <c r="G240" i="9"/>
  <c r="G20" i="6"/>
  <c r="G19" i="6"/>
  <c r="G236" i="9"/>
  <c r="H236" i="9"/>
  <c r="G71" i="5"/>
  <c r="G43" i="6"/>
  <c r="D7" i="24"/>
  <c r="G224" i="9"/>
  <c r="H220" i="9"/>
  <c r="H222" i="9"/>
  <c r="G194" i="9"/>
  <c r="D30" i="23"/>
  <c r="D29" i="23"/>
  <c r="D54" i="6"/>
  <c r="E77" i="5"/>
  <c r="E79" i="5"/>
  <c r="E12" i="6"/>
  <c r="E14" i="6"/>
  <c r="I59" i="5"/>
  <c r="H37" i="6"/>
  <c r="E21" i="6"/>
  <c r="E244" i="9"/>
  <c r="G14" i="6"/>
  <c r="G16" i="6"/>
  <c r="F28" i="9"/>
  <c r="G34" i="6"/>
  <c r="F24" i="9"/>
  <c r="F41" i="5"/>
  <c r="D47" i="6"/>
  <c r="D197" i="9"/>
  <c r="D199" i="9"/>
  <c r="D45" i="6"/>
  <c r="D189" i="9"/>
  <c r="D191" i="9"/>
  <c r="F17" i="6"/>
  <c r="F201" i="9"/>
  <c r="F203" i="9"/>
  <c r="G25" i="6"/>
  <c r="G216" i="9"/>
  <c r="H216" i="9"/>
  <c r="G23" i="6"/>
  <c r="G212" i="9"/>
  <c r="H212" i="9"/>
  <c r="F240" i="9"/>
  <c r="F241" i="9"/>
  <c r="F20" i="6"/>
  <c r="F19" i="6"/>
  <c r="F236" i="9"/>
  <c r="F43" i="6"/>
  <c r="F224" i="9"/>
  <c r="G220" i="9"/>
  <c r="G222" i="9"/>
  <c r="G223" i="9"/>
  <c r="F194" i="9"/>
  <c r="G41" i="6"/>
  <c r="D77" i="5"/>
  <c r="D79" i="5"/>
  <c r="D11" i="6"/>
  <c r="D13" i="6"/>
  <c r="D15" i="6"/>
  <c r="G33" i="6"/>
  <c r="F22" i="9"/>
  <c r="D16" i="6"/>
  <c r="C28" i="9"/>
  <c r="F36" i="6"/>
  <c r="D18" i="6"/>
  <c r="D205" i="9"/>
  <c r="D207" i="9"/>
  <c r="F16" i="6"/>
  <c r="E28" i="9"/>
  <c r="G46" i="6"/>
  <c r="G193" i="9"/>
  <c r="G195" i="9"/>
  <c r="E17" i="6"/>
  <c r="E201" i="9"/>
  <c r="E203" i="9"/>
  <c r="F25" i="6"/>
  <c r="F216" i="9"/>
  <c r="F23" i="6"/>
  <c r="F212" i="9"/>
  <c r="E20" i="6"/>
  <c r="E240" i="9"/>
  <c r="E19" i="6"/>
  <c r="E236" i="9"/>
  <c r="E43" i="6"/>
  <c r="E224" i="9"/>
  <c r="F220" i="9"/>
  <c r="F222" i="9"/>
  <c r="E194" i="9"/>
  <c r="C79" i="5"/>
  <c r="G11" i="6"/>
  <c r="G13" i="6"/>
  <c r="D33" i="6"/>
  <c r="C22" i="9"/>
  <c r="E16" i="6"/>
  <c r="D28" i="9"/>
  <c r="E34" i="6"/>
  <c r="D24" i="9"/>
  <c r="F28" i="5"/>
  <c r="G30" i="6"/>
  <c r="G38" i="6"/>
  <c r="F46" i="6"/>
  <c r="F193" i="9"/>
  <c r="F195" i="9"/>
  <c r="D201" i="9"/>
  <c r="D203" i="9"/>
  <c r="D17" i="6"/>
  <c r="E216" i="9"/>
  <c r="E25" i="6"/>
  <c r="E23" i="6"/>
  <c r="E212" i="9"/>
  <c r="D20" i="6"/>
  <c r="D240" i="9"/>
  <c r="D241" i="9"/>
  <c r="D19" i="6"/>
  <c r="D236" i="9"/>
  <c r="D43" i="6"/>
  <c r="D224" i="9"/>
  <c r="E220" i="9"/>
  <c r="D194" i="9"/>
  <c r="G42" i="6"/>
  <c r="F11" i="6"/>
  <c r="F13" i="6"/>
  <c r="E33" i="6"/>
  <c r="D22" i="9"/>
  <c r="E32" i="6"/>
  <c r="D10" i="9"/>
  <c r="F47" i="6"/>
  <c r="F197" i="9"/>
  <c r="F199" i="9"/>
  <c r="E53" i="5"/>
  <c r="D32" i="6"/>
  <c r="C10" i="9"/>
  <c r="F34" i="6"/>
  <c r="E24" i="9"/>
  <c r="G26" i="9"/>
  <c r="H26" i="9"/>
  <c r="G22" i="9"/>
  <c r="H22" i="9"/>
  <c r="I22" i="9"/>
  <c r="G16" i="5"/>
  <c r="G10" i="9"/>
  <c r="G12" i="9"/>
  <c r="D30" i="6"/>
  <c r="E28" i="5"/>
  <c r="F30" i="6"/>
  <c r="C195" i="9"/>
  <c r="E46" i="6"/>
  <c r="E193" i="9"/>
  <c r="E195" i="9"/>
  <c r="G18" i="6"/>
  <c r="G205" i="9"/>
  <c r="C53" i="5"/>
  <c r="C58" i="5"/>
  <c r="C61" i="5"/>
  <c r="C72" i="5"/>
  <c r="C80" i="5"/>
  <c r="D216" i="9"/>
  <c r="D25" i="6"/>
  <c r="D23" i="6"/>
  <c r="D212" i="9"/>
  <c r="E37" i="6"/>
  <c r="G21" i="6"/>
  <c r="G244" i="9"/>
  <c r="H244" i="9"/>
  <c r="G238" i="9"/>
  <c r="H238" i="9"/>
  <c r="G15" i="6"/>
  <c r="G44" i="6"/>
  <c r="G231" i="9"/>
  <c r="G233" i="9"/>
  <c r="D41" i="6"/>
  <c r="F42" i="6"/>
  <c r="E11" i="6"/>
  <c r="E13" i="6"/>
  <c r="D34" i="6"/>
  <c r="C24" i="9"/>
  <c r="G32" i="6"/>
  <c r="F10" i="9"/>
  <c r="F12" i="9"/>
  <c r="H36" i="6"/>
  <c r="D46" i="6"/>
  <c r="D193" i="9"/>
  <c r="D195" i="9"/>
  <c r="F18" i="6"/>
  <c r="F205" i="9"/>
  <c r="F207" i="9"/>
  <c r="G214" i="9"/>
  <c r="H214" i="9"/>
  <c r="G24" i="6"/>
  <c r="G22" i="6"/>
  <c r="G210" i="9"/>
  <c r="H210" i="9"/>
  <c r="F21" i="6"/>
  <c r="F244" i="9"/>
  <c r="F15" i="6"/>
  <c r="F238" i="9"/>
  <c r="F44" i="6"/>
  <c r="F231" i="9"/>
  <c r="G30" i="23"/>
  <c r="G29" i="23"/>
  <c r="G54" i="6"/>
  <c r="E42" i="6"/>
  <c r="E50" i="6"/>
  <c r="D14" i="6"/>
  <c r="H8" i="23"/>
  <c r="H232" i="9"/>
  <c r="D12" i="9"/>
  <c r="D15" i="9"/>
  <c r="G15" i="7"/>
  <c r="G15" i="9"/>
  <c r="F15" i="7"/>
  <c r="F15" i="9"/>
  <c r="E15" i="7"/>
  <c r="E15" i="9"/>
  <c r="D15" i="7"/>
  <c r="J7" i="7"/>
  <c r="I7" i="7"/>
  <c r="I6" i="23"/>
  <c r="I11" i="9"/>
  <c r="I15" i="9"/>
  <c r="I19" i="9"/>
  <c r="F79" i="5"/>
  <c r="G79" i="5"/>
  <c r="D6" i="24"/>
  <c r="D72" i="5"/>
  <c r="E58" i="5"/>
  <c r="E61" i="5"/>
  <c r="E72" i="5"/>
  <c r="G41" i="5"/>
  <c r="D41" i="5"/>
  <c r="D31" i="6"/>
  <c r="E41" i="5"/>
  <c r="C25" i="5"/>
  <c r="D20" i="5"/>
  <c r="G20" i="5"/>
  <c r="C16" i="5"/>
  <c r="C20" i="5"/>
  <c r="G58" i="5"/>
  <c r="G61" i="5"/>
  <c r="G72" i="5"/>
  <c r="G80" i="5"/>
  <c r="F58" i="5"/>
  <c r="F61" i="5"/>
  <c r="F72" i="5"/>
  <c r="F80" i="5"/>
  <c r="F43" i="5"/>
  <c r="F44" i="5"/>
  <c r="L13" i="7"/>
  <c r="I13" i="7"/>
  <c r="J13" i="7"/>
  <c r="K13" i="7"/>
  <c r="J22" i="7"/>
  <c r="I12" i="23"/>
  <c r="I238" i="9"/>
  <c r="I67" i="5"/>
  <c r="H67" i="5"/>
  <c r="H15" i="6"/>
  <c r="E80" i="5"/>
  <c r="I212" i="9"/>
  <c r="H55" i="5"/>
  <c r="H23" i="6"/>
  <c r="I24" i="9"/>
  <c r="H13" i="5"/>
  <c r="I34" i="6"/>
  <c r="D80" i="5"/>
  <c r="H12" i="5"/>
  <c r="J241" i="9"/>
  <c r="G226" i="9"/>
  <c r="G31" i="6"/>
  <c r="G241" i="9"/>
  <c r="I28" i="9"/>
  <c r="H15" i="5"/>
  <c r="I191" i="9"/>
  <c r="I210" i="9"/>
  <c r="H54" i="5"/>
  <c r="H22" i="6"/>
  <c r="I236" i="9"/>
  <c r="H66" i="5"/>
  <c r="H19" i="6"/>
  <c r="G50" i="6"/>
  <c r="F50" i="6"/>
  <c r="D50" i="6"/>
  <c r="G43" i="5"/>
  <c r="G44" i="5"/>
  <c r="D29" i="6"/>
  <c r="D38" i="6"/>
  <c r="C43" i="5"/>
  <c r="C44" i="5"/>
  <c r="E241" i="9"/>
  <c r="J59" i="5"/>
  <c r="I37" i="6"/>
  <c r="D11" i="24"/>
  <c r="D18" i="24"/>
  <c r="J17" i="5"/>
  <c r="J36" i="6"/>
  <c r="E43" i="5"/>
  <c r="E44" i="5"/>
  <c r="E82" i="5"/>
  <c r="F31" i="6"/>
  <c r="D43" i="5"/>
  <c r="D44" i="5"/>
  <c r="E31" i="6"/>
  <c r="E222" i="9"/>
  <c r="E223" i="9"/>
  <c r="E30" i="6"/>
  <c r="J6" i="23"/>
  <c r="J11" i="9"/>
  <c r="J15" i="9"/>
  <c r="J19" i="9"/>
  <c r="I8" i="23"/>
  <c r="I232" i="9"/>
  <c r="E26" i="7"/>
  <c r="F16" i="9"/>
  <c r="F19" i="9"/>
  <c r="F20" i="9"/>
  <c r="E19" i="9"/>
  <c r="E20" i="9"/>
  <c r="E16" i="9"/>
  <c r="G19" i="9"/>
  <c r="G20" i="9"/>
  <c r="G16" i="9"/>
  <c r="D19" i="9"/>
  <c r="D20" i="9"/>
  <c r="K7" i="7"/>
  <c r="D82" i="5"/>
  <c r="F82" i="5"/>
  <c r="C82" i="5"/>
  <c r="G82" i="5"/>
  <c r="K22" i="7"/>
  <c r="J12" i="23"/>
  <c r="E226" i="9"/>
  <c r="E221" i="9"/>
  <c r="K59" i="5"/>
  <c r="J37" i="6"/>
  <c r="J28" i="9"/>
  <c r="I15" i="5"/>
  <c r="J22" i="9"/>
  <c r="K22" i="9"/>
  <c r="I12" i="5"/>
  <c r="I33" i="6"/>
  <c r="D221" i="9"/>
  <c r="H33" i="6"/>
  <c r="J236" i="9"/>
  <c r="I66" i="5"/>
  <c r="I19" i="6"/>
  <c r="I16" i="6"/>
  <c r="H16" i="6"/>
  <c r="K17" i="5"/>
  <c r="K36" i="6"/>
  <c r="H34" i="6"/>
  <c r="J210" i="9"/>
  <c r="I54" i="5"/>
  <c r="I22" i="6"/>
  <c r="J24" i="9"/>
  <c r="I13" i="5"/>
  <c r="J191" i="9"/>
  <c r="J212" i="9"/>
  <c r="J55" i="5"/>
  <c r="I55" i="5"/>
  <c r="K6" i="23"/>
  <c r="K11" i="9"/>
  <c r="K15" i="9"/>
  <c r="K19" i="9"/>
  <c r="J8" i="23"/>
  <c r="J232" i="9"/>
  <c r="F26" i="7"/>
  <c r="G26" i="7"/>
  <c r="F26" i="6"/>
  <c r="E26" i="6"/>
  <c r="D26" i="7"/>
  <c r="L7" i="7"/>
  <c r="L22" i="7"/>
  <c r="L12" i="23"/>
  <c r="K12" i="23"/>
  <c r="D10" i="24"/>
  <c r="D12" i="24"/>
  <c r="K24" i="9"/>
  <c r="J13" i="5"/>
  <c r="J34" i="6"/>
  <c r="J12" i="5"/>
  <c r="K212" i="9"/>
  <c r="L212" i="9"/>
  <c r="K191" i="9"/>
  <c r="L59" i="5"/>
  <c r="L37" i="6"/>
  <c r="K37" i="6"/>
  <c r="K28" i="9"/>
  <c r="J15" i="5"/>
  <c r="L17" i="5"/>
  <c r="L36" i="6"/>
  <c r="K236" i="9"/>
  <c r="J66" i="5"/>
  <c r="J19" i="6"/>
  <c r="E52" i="6"/>
  <c r="E56" i="6"/>
  <c r="E5" i="25"/>
  <c r="F52" i="6"/>
  <c r="F56" i="6"/>
  <c r="F5" i="25"/>
  <c r="L6" i="23"/>
  <c r="K8" i="23"/>
  <c r="K232" i="9"/>
  <c r="G26" i="6"/>
  <c r="I26" i="7"/>
  <c r="J26" i="7"/>
  <c r="K26" i="7"/>
  <c r="L26" i="7"/>
  <c r="C8" i="9"/>
  <c r="H8" i="9"/>
  <c r="L191" i="9"/>
  <c r="L22" i="9"/>
  <c r="L12" i="5"/>
  <c r="L33" i="6"/>
  <c r="K12" i="5"/>
  <c r="K33" i="6"/>
  <c r="L55" i="5"/>
  <c r="L23" i="6"/>
  <c r="K55" i="5"/>
  <c r="K23" i="6"/>
  <c r="J33" i="6"/>
  <c r="L236" i="9"/>
  <c r="L66" i="5"/>
  <c r="K66" i="5"/>
  <c r="K19" i="6"/>
  <c r="L28" i="9"/>
  <c r="L15" i="5"/>
  <c r="K15" i="5"/>
  <c r="L16" i="6"/>
  <c r="L24" i="9"/>
  <c r="L13" i="5"/>
  <c r="K13" i="5"/>
  <c r="L34" i="6"/>
  <c r="K34" i="6"/>
  <c r="G52" i="6"/>
  <c r="G56" i="6"/>
  <c r="H53" i="6"/>
  <c r="G5" i="25"/>
  <c r="L8" i="23"/>
  <c r="L232" i="9"/>
  <c r="L11" i="9"/>
  <c r="L15" i="9"/>
  <c r="L19" i="9"/>
  <c r="D26" i="6"/>
  <c r="I11" i="23"/>
  <c r="H13" i="23"/>
  <c r="I13" i="23"/>
  <c r="J13" i="23"/>
  <c r="K13" i="23"/>
  <c r="L13" i="23"/>
  <c r="H14" i="23"/>
  <c r="L19" i="6"/>
  <c r="D52" i="6"/>
  <c r="C26" i="7"/>
  <c r="C15" i="9"/>
  <c r="C12" i="9"/>
  <c r="H190" i="9"/>
  <c r="H189" i="9"/>
  <c r="H47" i="5"/>
  <c r="H198" i="9"/>
  <c r="J11" i="23"/>
  <c r="K11" i="23"/>
  <c r="L11" i="23"/>
  <c r="D56" i="6"/>
  <c r="D60" i="6"/>
  <c r="I14" i="23"/>
  <c r="I12" i="9"/>
  <c r="I10" i="9"/>
  <c r="I8" i="5"/>
  <c r="J32" i="6"/>
  <c r="L12" i="9"/>
  <c r="L10" i="9"/>
  <c r="L8" i="5"/>
  <c r="H12" i="9"/>
  <c r="H10" i="9"/>
  <c r="H8" i="5"/>
  <c r="J12" i="9"/>
  <c r="J10" i="9"/>
  <c r="J8" i="5"/>
  <c r="K32" i="6"/>
  <c r="K12" i="9"/>
  <c r="K10" i="9"/>
  <c r="K8" i="5"/>
  <c r="H9" i="23"/>
  <c r="I198" i="9"/>
  <c r="I190" i="9"/>
  <c r="I189" i="9"/>
  <c r="I47" i="5"/>
  <c r="I45" i="6"/>
  <c r="J14" i="23"/>
  <c r="K9" i="23"/>
  <c r="J9" i="23"/>
  <c r="I9" i="23"/>
  <c r="L9" i="23"/>
  <c r="J198" i="9"/>
  <c r="J190" i="9"/>
  <c r="J189" i="9"/>
  <c r="J47" i="5"/>
  <c r="H7" i="9"/>
  <c r="H6" i="9"/>
  <c r="H7" i="5"/>
  <c r="H11" i="6"/>
  <c r="H202" i="9"/>
  <c r="H10" i="23"/>
  <c r="H15" i="23"/>
  <c r="K10" i="23"/>
  <c r="K202" i="9"/>
  <c r="K7" i="9"/>
  <c r="I10" i="23"/>
  <c r="I15" i="23"/>
  <c r="I202" i="9"/>
  <c r="I7" i="9"/>
  <c r="L10" i="23"/>
  <c r="L202" i="9"/>
  <c r="L7" i="9"/>
  <c r="J10" i="23"/>
  <c r="J15" i="23"/>
  <c r="J202" i="9"/>
  <c r="J7" i="9"/>
  <c r="L14" i="23"/>
  <c r="K14" i="23"/>
  <c r="K198" i="9"/>
  <c r="K190" i="9"/>
  <c r="K189" i="9"/>
  <c r="K47" i="5"/>
  <c r="L198" i="9"/>
  <c r="L190" i="9"/>
  <c r="L189" i="9"/>
  <c r="L47" i="5"/>
  <c r="H206" i="9"/>
  <c r="K15" i="23"/>
  <c r="L15" i="23"/>
  <c r="J206" i="9"/>
  <c r="I206" i="9"/>
  <c r="L206" i="9"/>
  <c r="K206" i="9"/>
  <c r="L45" i="6"/>
  <c r="J45" i="6"/>
  <c r="H130" i="9"/>
  <c r="H131" i="9"/>
  <c r="I125" i="9"/>
  <c r="I32" i="6"/>
  <c r="H32" i="6"/>
  <c r="K45" i="6"/>
  <c r="H45" i="6"/>
  <c r="H58" i="9"/>
  <c r="H57" i="9"/>
  <c r="L32" i="6"/>
  <c r="I23" i="6"/>
  <c r="J23" i="6"/>
  <c r="C19" i="9"/>
  <c r="C20" i="9"/>
  <c r="C16" i="9"/>
  <c r="K16" i="6"/>
  <c r="J16" i="6"/>
  <c r="H80" i="9"/>
  <c r="H182" i="9"/>
  <c r="K199" i="9"/>
  <c r="K197" i="9"/>
  <c r="K49" i="5"/>
  <c r="K47" i="6"/>
  <c r="I199" i="9"/>
  <c r="I197" i="9"/>
  <c r="I49" i="5"/>
  <c r="H199" i="9"/>
  <c r="H197" i="9"/>
  <c r="H49" i="5"/>
  <c r="H47" i="6"/>
  <c r="J199" i="9"/>
  <c r="J197" i="9"/>
  <c r="J49" i="5"/>
  <c r="J47" i="6"/>
  <c r="L199" i="9"/>
  <c r="L197" i="9"/>
  <c r="L49" i="5"/>
  <c r="H19" i="9"/>
  <c r="I167" i="9"/>
  <c r="I168" i="9"/>
  <c r="I214" i="9"/>
  <c r="H56" i="5"/>
  <c r="H24" i="6"/>
  <c r="I8" i="9"/>
  <c r="D226" i="9"/>
  <c r="F221" i="9"/>
  <c r="F223" i="9"/>
  <c r="F226" i="9"/>
  <c r="H35" i="5"/>
  <c r="I117" i="9"/>
  <c r="H162" i="9"/>
  <c r="H163" i="9"/>
  <c r="I157" i="9"/>
  <c r="I246" i="9"/>
  <c r="I248" i="9"/>
  <c r="H75" i="5"/>
  <c r="H41" i="6"/>
  <c r="H114" i="9"/>
  <c r="H115" i="9"/>
  <c r="H36" i="5"/>
  <c r="H203" i="9"/>
  <c r="I195" i="9"/>
  <c r="I193" i="9"/>
  <c r="I48" i="5"/>
  <c r="H195" i="9"/>
  <c r="H241" i="9"/>
  <c r="H240" i="9"/>
  <c r="I241" i="9"/>
  <c r="K241" i="9"/>
  <c r="L241" i="9"/>
  <c r="H207" i="9"/>
  <c r="H223" i="9"/>
  <c r="H224" i="9"/>
  <c r="H233" i="9"/>
  <c r="H67" i="9"/>
  <c r="H40" i="5"/>
  <c r="H71" i="9"/>
  <c r="H98" i="9"/>
  <c r="H99" i="9"/>
  <c r="J54" i="5"/>
  <c r="J22" i="6"/>
  <c r="K210" i="9"/>
  <c r="I15" i="6"/>
  <c r="I244" i="9"/>
  <c r="H69" i="5"/>
  <c r="H21" i="6"/>
  <c r="H178" i="9"/>
  <c r="H179" i="9"/>
  <c r="I173" i="9"/>
  <c r="H154" i="9"/>
  <c r="H155" i="9"/>
  <c r="H87" i="9"/>
  <c r="H88" i="9"/>
  <c r="I26" i="9"/>
  <c r="H14" i="5"/>
  <c r="I216" i="9"/>
  <c r="H57" i="5"/>
  <c r="H25" i="6"/>
  <c r="J8" i="9"/>
  <c r="J6" i="9"/>
  <c r="J7" i="5"/>
  <c r="I143" i="9"/>
  <c r="I144" i="9"/>
  <c r="H106" i="9"/>
  <c r="H107" i="9"/>
  <c r="J238" i="9"/>
  <c r="H136" i="9"/>
  <c r="I251" i="9"/>
  <c r="G221" i="9"/>
  <c r="I146" i="9"/>
  <c r="I147" i="9"/>
  <c r="I175" i="9"/>
  <c r="I176" i="9"/>
  <c r="H90" i="9"/>
  <c r="H91" i="9"/>
  <c r="H34" i="5"/>
  <c r="I109" i="9"/>
  <c r="J233" i="9"/>
  <c r="J231" i="9"/>
  <c r="J65" i="5"/>
  <c r="I30" i="5"/>
  <c r="I127" i="9"/>
  <c r="I128" i="9"/>
  <c r="H82" i="9"/>
  <c r="H83" i="9"/>
  <c r="I61" i="9"/>
  <c r="H29" i="5"/>
  <c r="H201" i="9"/>
  <c r="H51" i="5"/>
  <c r="I159" i="9"/>
  <c r="I160" i="9"/>
  <c r="H18" i="9"/>
  <c r="H11" i="5"/>
  <c r="L210" i="9"/>
  <c r="L54" i="5"/>
  <c r="L22" i="6"/>
  <c r="K54" i="5"/>
  <c r="K22" i="6"/>
  <c r="I233" i="9"/>
  <c r="L47" i="6"/>
  <c r="J244" i="9"/>
  <c r="I69" i="5"/>
  <c r="I21" i="6"/>
  <c r="K226" i="9"/>
  <c r="J226" i="9"/>
  <c r="H226" i="9"/>
  <c r="H225" i="9"/>
  <c r="H18" i="23"/>
  <c r="I226" i="9"/>
  <c r="L226" i="9"/>
  <c r="K8" i="9"/>
  <c r="K6" i="9"/>
  <c r="K7" i="5"/>
  <c r="H231" i="9"/>
  <c r="H65" i="5"/>
  <c r="H44" i="6"/>
  <c r="I119" i="9"/>
  <c r="I120" i="9"/>
  <c r="I6" i="9"/>
  <c r="I7" i="5"/>
  <c r="I101" i="9"/>
  <c r="H33" i="5"/>
  <c r="H16" i="9"/>
  <c r="H14" i="9"/>
  <c r="H9" i="5"/>
  <c r="I16" i="9"/>
  <c r="I14" i="9"/>
  <c r="I9" i="5"/>
  <c r="J12" i="6"/>
  <c r="J16" i="9"/>
  <c r="J14" i="9"/>
  <c r="J9" i="5"/>
  <c r="K16" i="9"/>
  <c r="K14" i="9"/>
  <c r="K9" i="5"/>
  <c r="L16" i="9"/>
  <c r="L14" i="9"/>
  <c r="L9" i="5"/>
  <c r="I78" i="5"/>
  <c r="I42" i="6"/>
  <c r="J251" i="9"/>
  <c r="H185" i="9"/>
  <c r="I240" i="9"/>
  <c r="H68" i="5"/>
  <c r="H20" i="6"/>
  <c r="J214" i="9"/>
  <c r="I56" i="5"/>
  <c r="I24" i="6"/>
  <c r="I47" i="6"/>
  <c r="L20" i="9"/>
  <c r="L18" i="9"/>
  <c r="L11" i="5"/>
  <c r="K20" i="9"/>
  <c r="K18" i="9"/>
  <c r="K11" i="5"/>
  <c r="H20" i="9"/>
  <c r="I20" i="9"/>
  <c r="I18" i="9"/>
  <c r="I11" i="5"/>
  <c r="J13" i="6"/>
  <c r="J20" i="9"/>
  <c r="J18" i="9"/>
  <c r="J11" i="5"/>
  <c r="K13" i="6"/>
  <c r="K11" i="6"/>
  <c r="I220" i="9"/>
  <c r="I222" i="9"/>
  <c r="H64" i="5"/>
  <c r="H23" i="5"/>
  <c r="I52" i="9"/>
  <c r="J26" i="9"/>
  <c r="I14" i="5"/>
  <c r="J246" i="9"/>
  <c r="J248" i="9"/>
  <c r="I75" i="5"/>
  <c r="I41" i="6"/>
  <c r="H37" i="5"/>
  <c r="I149" i="9"/>
  <c r="I93" i="9"/>
  <c r="H27" i="5"/>
  <c r="H138" i="9"/>
  <c r="H139" i="9"/>
  <c r="J216" i="9"/>
  <c r="I57" i="5"/>
  <c r="I25" i="6"/>
  <c r="H72" i="9"/>
  <c r="H181" i="9"/>
  <c r="H205" i="9"/>
  <c r="H52" i="5"/>
  <c r="H18" i="6"/>
  <c r="J195" i="9"/>
  <c r="J193" i="9"/>
  <c r="J48" i="5"/>
  <c r="I203" i="9"/>
  <c r="I170" i="9"/>
  <c r="I171" i="9"/>
  <c r="J165" i="9"/>
  <c r="J67" i="5"/>
  <c r="J15" i="6"/>
  <c r="K238" i="9"/>
  <c r="H14" i="6"/>
  <c r="I14" i="6"/>
  <c r="I207" i="9"/>
  <c r="I205" i="9"/>
  <c r="I52" i="5"/>
  <c r="I18" i="6"/>
  <c r="H193" i="9"/>
  <c r="H48" i="5"/>
  <c r="I46" i="6"/>
  <c r="I162" i="9"/>
  <c r="I163" i="9"/>
  <c r="J157" i="9"/>
  <c r="J167" i="9"/>
  <c r="J168" i="9"/>
  <c r="I77" i="9"/>
  <c r="H31" i="5"/>
  <c r="I133" i="9"/>
  <c r="H32" i="5"/>
  <c r="I85" i="9"/>
  <c r="H26" i="5"/>
  <c r="H28" i="5"/>
  <c r="H9" i="6"/>
  <c r="H49" i="6"/>
  <c r="I122" i="9"/>
  <c r="I123" i="9"/>
  <c r="J46" i="6"/>
  <c r="J207" i="9"/>
  <c r="J205" i="9"/>
  <c r="J52" i="5"/>
  <c r="J18" i="6"/>
  <c r="J14" i="6"/>
  <c r="J56" i="5"/>
  <c r="J24" i="6"/>
  <c r="K214" i="9"/>
  <c r="K12" i="6"/>
  <c r="H75" i="9"/>
  <c r="H74" i="9"/>
  <c r="H184" i="9"/>
  <c r="H186" i="9"/>
  <c r="H16" i="23"/>
  <c r="H46" i="6"/>
  <c r="K26" i="9"/>
  <c r="J14" i="5"/>
  <c r="K244" i="9"/>
  <c r="J69" i="5"/>
  <c r="J21" i="6"/>
  <c r="H17" i="6"/>
  <c r="H53" i="5"/>
  <c r="H58" i="5"/>
  <c r="H61" i="5"/>
  <c r="H72" i="5"/>
  <c r="J11" i="6"/>
  <c r="I11" i="6"/>
  <c r="I63" i="9"/>
  <c r="I64" i="9"/>
  <c r="L12" i="6"/>
  <c r="J240" i="9"/>
  <c r="I68" i="5"/>
  <c r="I20" i="6"/>
  <c r="I131" i="9"/>
  <c r="J125" i="9"/>
  <c r="I130" i="9"/>
  <c r="L8" i="9"/>
  <c r="L6" i="9"/>
  <c r="L7" i="5"/>
  <c r="K67" i="5"/>
  <c r="K15" i="6"/>
  <c r="L238" i="9"/>
  <c r="L67" i="5"/>
  <c r="L15" i="6"/>
  <c r="I54" i="9"/>
  <c r="I55" i="9"/>
  <c r="I95" i="9"/>
  <c r="I96" i="9"/>
  <c r="I231" i="9"/>
  <c r="I65" i="5"/>
  <c r="I44" i="6"/>
  <c r="K233" i="9"/>
  <c r="K231" i="9"/>
  <c r="K65" i="5"/>
  <c r="K44" i="6"/>
  <c r="K195" i="9"/>
  <c r="I178" i="9"/>
  <c r="I179" i="9"/>
  <c r="J173" i="9"/>
  <c r="I40" i="5"/>
  <c r="I201" i="9"/>
  <c r="I51" i="5"/>
  <c r="J203" i="9"/>
  <c r="J201" i="9"/>
  <c r="J51" i="5"/>
  <c r="I13" i="6"/>
  <c r="H13" i="6"/>
  <c r="K216" i="9"/>
  <c r="J57" i="5"/>
  <c r="J25" i="6"/>
  <c r="K246" i="9"/>
  <c r="K248" i="9"/>
  <c r="J75" i="5"/>
  <c r="J41" i="6"/>
  <c r="I12" i="6"/>
  <c r="H12" i="6"/>
  <c r="K203" i="9"/>
  <c r="K201" i="9"/>
  <c r="K51" i="5"/>
  <c r="I151" i="9"/>
  <c r="I152" i="9"/>
  <c r="H71" i="5"/>
  <c r="H43" i="6"/>
  <c r="L13" i="6"/>
  <c r="J78" i="5"/>
  <c r="J42" i="6"/>
  <c r="K251" i="9"/>
  <c r="I103" i="9"/>
  <c r="I104" i="9"/>
  <c r="H41" i="5"/>
  <c r="I223" i="9"/>
  <c r="I224" i="9"/>
  <c r="I225" i="9"/>
  <c r="I18" i="23"/>
  <c r="I36" i="5"/>
  <c r="J141" i="9"/>
  <c r="I111" i="9"/>
  <c r="I112" i="9"/>
  <c r="I115" i="9"/>
  <c r="I114" i="9"/>
  <c r="J170" i="9"/>
  <c r="J171" i="9"/>
  <c r="K165" i="9"/>
  <c r="J159" i="9"/>
  <c r="J160" i="9"/>
  <c r="I66" i="9"/>
  <c r="I67" i="9"/>
  <c r="I106" i="9"/>
  <c r="I107" i="9"/>
  <c r="I64" i="5"/>
  <c r="J220" i="9"/>
  <c r="J222" i="9"/>
  <c r="I154" i="9"/>
  <c r="I155" i="9"/>
  <c r="I135" i="9"/>
  <c r="I136" i="9"/>
  <c r="J44" i="6"/>
  <c r="J53" i="5"/>
  <c r="J58" i="5"/>
  <c r="J61" i="5"/>
  <c r="J17" i="6"/>
  <c r="L244" i="9"/>
  <c r="L69" i="5"/>
  <c r="L21" i="6"/>
  <c r="K69" i="5"/>
  <c r="K21" i="6"/>
  <c r="L233" i="9"/>
  <c r="L231" i="9"/>
  <c r="L65" i="5"/>
  <c r="L44" i="6"/>
  <c r="I35" i="5"/>
  <c r="J117" i="9"/>
  <c r="H24" i="5"/>
  <c r="H25" i="5"/>
  <c r="I69" i="9"/>
  <c r="I79" i="9"/>
  <c r="I182" i="9"/>
  <c r="I80" i="9"/>
  <c r="J176" i="9"/>
  <c r="J175" i="9"/>
  <c r="L251" i="9"/>
  <c r="L78" i="5"/>
  <c r="K78" i="5"/>
  <c r="K42" i="6"/>
  <c r="I9" i="6"/>
  <c r="I49" i="6"/>
  <c r="I17" i="6"/>
  <c r="I53" i="5"/>
  <c r="I58" i="5"/>
  <c r="I61" i="5"/>
  <c r="I98" i="9"/>
  <c r="I99" i="9"/>
  <c r="L26" i="9"/>
  <c r="L14" i="5"/>
  <c r="K14" i="5"/>
  <c r="K56" i="5"/>
  <c r="K24" i="6"/>
  <c r="L214" i="9"/>
  <c r="L56" i="5"/>
  <c r="L24" i="6"/>
  <c r="H31" i="6"/>
  <c r="L11" i="6"/>
  <c r="H30" i="6"/>
  <c r="I87" i="9"/>
  <c r="I88" i="9"/>
  <c r="K75" i="5"/>
  <c r="K41" i="6"/>
  <c r="L246" i="9"/>
  <c r="L248" i="9"/>
  <c r="L75" i="5"/>
  <c r="L41" i="6"/>
  <c r="J30" i="5"/>
  <c r="J127" i="9"/>
  <c r="J128" i="9"/>
  <c r="L216" i="9"/>
  <c r="L57" i="5"/>
  <c r="L25" i="6"/>
  <c r="K57" i="5"/>
  <c r="K25" i="6"/>
  <c r="K193" i="9"/>
  <c r="K48" i="5"/>
  <c r="L195" i="9"/>
  <c r="L193" i="9"/>
  <c r="L48" i="5"/>
  <c r="I57" i="9"/>
  <c r="K240" i="9"/>
  <c r="J68" i="5"/>
  <c r="J20" i="6"/>
  <c r="J143" i="9"/>
  <c r="J144" i="9"/>
  <c r="K17" i="6"/>
  <c r="K207" i="9"/>
  <c r="H8" i="6"/>
  <c r="H17" i="23"/>
  <c r="H19" i="23"/>
  <c r="L203" i="9"/>
  <c r="L201" i="9"/>
  <c r="L51" i="5"/>
  <c r="J101" i="9"/>
  <c r="I33" i="5"/>
  <c r="J147" i="9"/>
  <c r="J146" i="9"/>
  <c r="J162" i="9"/>
  <c r="J163" i="9"/>
  <c r="K157" i="9"/>
  <c r="I138" i="9"/>
  <c r="I139" i="9"/>
  <c r="I37" i="5"/>
  <c r="J149" i="9"/>
  <c r="I27" i="5"/>
  <c r="J93" i="9"/>
  <c r="I90" i="9"/>
  <c r="I91" i="9"/>
  <c r="L14" i="6"/>
  <c r="K14" i="6"/>
  <c r="L46" i="6"/>
  <c r="I82" i="9"/>
  <c r="I83" i="9"/>
  <c r="J61" i="9"/>
  <c r="I29" i="5"/>
  <c r="J130" i="9"/>
  <c r="J131" i="9"/>
  <c r="K125" i="9"/>
  <c r="J225" i="9"/>
  <c r="J18" i="23"/>
  <c r="J223" i="9"/>
  <c r="J224" i="9"/>
  <c r="K167" i="9"/>
  <c r="K168" i="9"/>
  <c r="K205" i="9"/>
  <c r="K52" i="5"/>
  <c r="L207" i="9"/>
  <c r="L205" i="9"/>
  <c r="L52" i="5"/>
  <c r="K46" i="6"/>
  <c r="H25" i="7"/>
  <c r="H24" i="7"/>
  <c r="H20" i="23"/>
  <c r="H21" i="23"/>
  <c r="L42" i="6"/>
  <c r="I71" i="9"/>
  <c r="I181" i="9"/>
  <c r="I72" i="9"/>
  <c r="I43" i="6"/>
  <c r="I71" i="5"/>
  <c r="I72" i="5"/>
  <c r="L17" i="6"/>
  <c r="L53" i="5"/>
  <c r="L58" i="5"/>
  <c r="L61" i="5"/>
  <c r="L240" i="9"/>
  <c r="L68" i="5"/>
  <c r="L20" i="6"/>
  <c r="K68" i="5"/>
  <c r="K20" i="6"/>
  <c r="I58" i="9"/>
  <c r="H43" i="5"/>
  <c r="H29" i="6"/>
  <c r="H38" i="6"/>
  <c r="I185" i="9"/>
  <c r="J40" i="5"/>
  <c r="J178" i="9"/>
  <c r="J179" i="9"/>
  <c r="K173" i="9"/>
  <c r="J119" i="9"/>
  <c r="J120" i="9"/>
  <c r="J109" i="9"/>
  <c r="I34" i="5"/>
  <c r="J85" i="9"/>
  <c r="I26" i="5"/>
  <c r="I28" i="5"/>
  <c r="J77" i="9"/>
  <c r="I31" i="5"/>
  <c r="K170" i="9"/>
  <c r="K171" i="9"/>
  <c r="L165" i="9"/>
  <c r="J64" i="5"/>
  <c r="K220" i="9"/>
  <c r="K222" i="9"/>
  <c r="J63" i="9"/>
  <c r="J64" i="9"/>
  <c r="I32" i="5"/>
  <c r="J133" i="9"/>
  <c r="H23" i="23"/>
  <c r="H7" i="6"/>
  <c r="H26" i="6"/>
  <c r="H25" i="23"/>
  <c r="H249" i="9"/>
  <c r="H24" i="23"/>
  <c r="H48" i="6"/>
  <c r="H50" i="6"/>
  <c r="K159" i="9"/>
  <c r="K160" i="9"/>
  <c r="H55" i="6"/>
  <c r="H10" i="6"/>
  <c r="I74" i="9"/>
  <c r="I184" i="9"/>
  <c r="I186" i="9"/>
  <c r="I16" i="23"/>
  <c r="J112" i="9"/>
  <c r="J111" i="9"/>
  <c r="J9" i="6"/>
  <c r="J49" i="6"/>
  <c r="J95" i="9"/>
  <c r="J96" i="9"/>
  <c r="K127" i="9"/>
  <c r="K128" i="9"/>
  <c r="K30" i="5"/>
  <c r="K141" i="9"/>
  <c r="J36" i="5"/>
  <c r="J122" i="9"/>
  <c r="J123" i="9"/>
  <c r="I23" i="5"/>
  <c r="J52" i="9"/>
  <c r="L18" i="6"/>
  <c r="J151" i="9"/>
  <c r="J152" i="9"/>
  <c r="K175" i="9"/>
  <c r="K176" i="9"/>
  <c r="K18" i="6"/>
  <c r="K53" i="5"/>
  <c r="K58" i="5"/>
  <c r="K61" i="5"/>
  <c r="I41" i="5"/>
  <c r="J103" i="9"/>
  <c r="J104" i="9"/>
  <c r="L167" i="9"/>
  <c r="L168" i="9"/>
  <c r="J154" i="9"/>
  <c r="J155" i="9"/>
  <c r="J106" i="9"/>
  <c r="J107" i="9"/>
  <c r="H250" i="9"/>
  <c r="H76" i="5"/>
  <c r="H5" i="25"/>
  <c r="H9" i="25"/>
  <c r="H52" i="6"/>
  <c r="I75" i="9"/>
  <c r="J43" i="6"/>
  <c r="J71" i="5"/>
  <c r="J72" i="5"/>
  <c r="J98" i="9"/>
  <c r="J99" i="9"/>
  <c r="K130" i="9"/>
  <c r="K131" i="9"/>
  <c r="L125" i="9"/>
  <c r="I31" i="6"/>
  <c r="J35" i="5"/>
  <c r="K117" i="9"/>
  <c r="J114" i="9"/>
  <c r="J115" i="9"/>
  <c r="J54" i="9"/>
  <c r="J55" i="9"/>
  <c r="K178" i="9"/>
  <c r="K179" i="9"/>
  <c r="L173" i="9"/>
  <c r="K40" i="5"/>
  <c r="K223" i="9"/>
  <c r="K224" i="9"/>
  <c r="K225" i="9"/>
  <c r="K18" i="23"/>
  <c r="I8" i="6"/>
  <c r="I17" i="23"/>
  <c r="I19" i="23"/>
  <c r="J136" i="9"/>
  <c r="J135" i="9"/>
  <c r="K163" i="9"/>
  <c r="L157" i="9"/>
  <c r="K162" i="9"/>
  <c r="J67" i="9"/>
  <c r="J66" i="9"/>
  <c r="J79" i="9"/>
  <c r="J80" i="9"/>
  <c r="K143" i="9"/>
  <c r="K144" i="9"/>
  <c r="I30" i="6"/>
  <c r="J87" i="9"/>
  <c r="J88" i="9"/>
  <c r="J90" i="9"/>
  <c r="J91" i="9"/>
  <c r="K64" i="5"/>
  <c r="L220" i="9"/>
  <c r="L222" i="9"/>
  <c r="K146" i="9"/>
  <c r="K147" i="9"/>
  <c r="J57" i="9"/>
  <c r="J58" i="9"/>
  <c r="K109" i="9"/>
  <c r="J34" i="5"/>
  <c r="K9" i="6"/>
  <c r="K49" i="6"/>
  <c r="K93" i="9"/>
  <c r="J27" i="5"/>
  <c r="H77" i="5"/>
  <c r="H79" i="5"/>
  <c r="H80" i="5"/>
  <c r="H30" i="23"/>
  <c r="H29" i="23"/>
  <c r="H54" i="6"/>
  <c r="H56" i="6"/>
  <c r="J185" i="9"/>
  <c r="K61" i="9"/>
  <c r="J29" i="5"/>
  <c r="L159" i="9"/>
  <c r="L160" i="9"/>
  <c r="J138" i="9"/>
  <c r="J139" i="9"/>
  <c r="K119" i="9"/>
  <c r="K120" i="9"/>
  <c r="J33" i="5"/>
  <c r="K101" i="9"/>
  <c r="L127" i="9"/>
  <c r="L30" i="5"/>
  <c r="L128" i="9"/>
  <c r="L175" i="9"/>
  <c r="L176" i="9"/>
  <c r="J82" i="9"/>
  <c r="J83" i="9"/>
  <c r="J182" i="9"/>
  <c r="I25" i="7"/>
  <c r="I24" i="7"/>
  <c r="I20" i="23"/>
  <c r="I21" i="23"/>
  <c r="J69" i="9"/>
  <c r="I24" i="5"/>
  <c r="I25" i="5"/>
  <c r="K149" i="9"/>
  <c r="J37" i="5"/>
  <c r="L170" i="9"/>
  <c r="L171" i="9"/>
  <c r="I7" i="6"/>
  <c r="I26" i="6"/>
  <c r="I24" i="23"/>
  <c r="I48" i="6"/>
  <c r="I50" i="6"/>
  <c r="I25" i="23"/>
  <c r="I249" i="9"/>
  <c r="I23" i="23"/>
  <c r="I53" i="6"/>
  <c r="H10" i="5"/>
  <c r="H16" i="5"/>
  <c r="H20" i="5"/>
  <c r="H44" i="5"/>
  <c r="H82" i="5"/>
  <c r="K52" i="9"/>
  <c r="J23" i="5"/>
  <c r="K36" i="5"/>
  <c r="L141" i="9"/>
  <c r="K122" i="9"/>
  <c r="K123" i="9"/>
  <c r="J32" i="5"/>
  <c r="K133" i="9"/>
  <c r="L40" i="5"/>
  <c r="L178" i="9"/>
  <c r="L179" i="9"/>
  <c r="L162" i="9"/>
  <c r="L163" i="9"/>
  <c r="K85" i="9"/>
  <c r="J26" i="5"/>
  <c r="J28" i="5"/>
  <c r="K95" i="9"/>
  <c r="K96" i="9"/>
  <c r="I10" i="6"/>
  <c r="I55" i="6"/>
  <c r="L225" i="9"/>
  <c r="L18" i="23"/>
  <c r="L223" i="9"/>
  <c r="L224" i="9"/>
  <c r="L64" i="5"/>
  <c r="J71" i="9"/>
  <c r="J181" i="9"/>
  <c r="L130" i="9"/>
  <c r="L131" i="9"/>
  <c r="K77" i="9"/>
  <c r="J31" i="5"/>
  <c r="K103" i="9"/>
  <c r="K104" i="9"/>
  <c r="J41" i="5"/>
  <c r="K43" i="6"/>
  <c r="K71" i="5"/>
  <c r="K72" i="5"/>
  <c r="K151" i="9"/>
  <c r="K152" i="9"/>
  <c r="K64" i="9"/>
  <c r="K63" i="9"/>
  <c r="I43" i="5"/>
  <c r="I29" i="6"/>
  <c r="I38" i="6"/>
  <c r="K111" i="9"/>
  <c r="K112" i="9"/>
  <c r="K106" i="9"/>
  <c r="K107" i="9"/>
  <c r="K154" i="9"/>
  <c r="K155" i="9"/>
  <c r="K35" i="5"/>
  <c r="L117" i="9"/>
  <c r="L71" i="5"/>
  <c r="L72" i="5"/>
  <c r="L43" i="6"/>
  <c r="K79" i="9"/>
  <c r="K80" i="9"/>
  <c r="K114" i="9"/>
  <c r="K115" i="9"/>
  <c r="J31" i="6"/>
  <c r="J30" i="6"/>
  <c r="K87" i="9"/>
  <c r="K88" i="9"/>
  <c r="I5" i="25"/>
  <c r="I9" i="25"/>
  <c r="I52" i="6"/>
  <c r="K98" i="9"/>
  <c r="K99" i="9"/>
  <c r="K54" i="9"/>
  <c r="K55" i="9"/>
  <c r="J72" i="9"/>
  <c r="K135" i="9"/>
  <c r="K136" i="9"/>
  <c r="K66" i="9"/>
  <c r="K67" i="9"/>
  <c r="I250" i="9"/>
  <c r="I76" i="5"/>
  <c r="L49" i="6"/>
  <c r="L9" i="6"/>
  <c r="L144" i="9"/>
  <c r="L143" i="9"/>
  <c r="K82" i="9"/>
  <c r="K83" i="9"/>
  <c r="K139" i="9"/>
  <c r="K138" i="9"/>
  <c r="K90" i="9"/>
  <c r="K91" i="9"/>
  <c r="L149" i="9"/>
  <c r="K37" i="5"/>
  <c r="L61" i="9"/>
  <c r="K29" i="5"/>
  <c r="L109" i="9"/>
  <c r="K34" i="5"/>
  <c r="K33" i="5"/>
  <c r="L101" i="9"/>
  <c r="L119" i="9"/>
  <c r="L120" i="9"/>
  <c r="K27" i="5"/>
  <c r="L93" i="9"/>
  <c r="L146" i="9"/>
  <c r="L147" i="9"/>
  <c r="L36" i="5"/>
  <c r="K58" i="9"/>
  <c r="K57" i="9"/>
  <c r="K182" i="9"/>
  <c r="J74" i="9"/>
  <c r="J184" i="9"/>
  <c r="J186" i="9"/>
  <c r="J16" i="23"/>
  <c r="J75" i="9"/>
  <c r="I30" i="23"/>
  <c r="I29" i="23"/>
  <c r="I54" i="6"/>
  <c r="I56" i="6"/>
  <c r="I77" i="5"/>
  <c r="I79" i="5"/>
  <c r="I80" i="5"/>
  <c r="J53" i="6"/>
  <c r="I10" i="5"/>
  <c r="I16" i="5"/>
  <c r="I20" i="5"/>
  <c r="I44" i="5"/>
  <c r="I82" i="5"/>
  <c r="L85" i="9"/>
  <c r="K26" i="5"/>
  <c r="K28" i="5"/>
  <c r="K31" i="5"/>
  <c r="K41" i="5"/>
  <c r="L77" i="9"/>
  <c r="L52" i="9"/>
  <c r="K23" i="5"/>
  <c r="L151" i="9"/>
  <c r="L152" i="9"/>
  <c r="L103" i="9"/>
  <c r="L104" i="9"/>
  <c r="J24" i="5"/>
  <c r="J25" i="5"/>
  <c r="K69" i="9"/>
  <c r="J8" i="6"/>
  <c r="J17" i="23"/>
  <c r="J19" i="23"/>
  <c r="K185" i="9"/>
  <c r="L95" i="9"/>
  <c r="L96" i="9"/>
  <c r="L111" i="9"/>
  <c r="L112" i="9"/>
  <c r="L133" i="9"/>
  <c r="K32" i="5"/>
  <c r="L123" i="9"/>
  <c r="L35" i="5"/>
  <c r="L122" i="9"/>
  <c r="L63" i="9"/>
  <c r="K31" i="6"/>
  <c r="J25" i="7"/>
  <c r="J24" i="7"/>
  <c r="J20" i="23"/>
  <c r="J21" i="23"/>
  <c r="K72" i="9"/>
  <c r="K71" i="9"/>
  <c r="K181" i="9"/>
  <c r="L114" i="9"/>
  <c r="L115" i="9"/>
  <c r="L34" i="5"/>
  <c r="L106" i="9"/>
  <c r="L107" i="9"/>
  <c r="L33" i="5"/>
  <c r="K30" i="6"/>
  <c r="L54" i="9"/>
  <c r="L55" i="9"/>
  <c r="L87" i="9"/>
  <c r="L88" i="9"/>
  <c r="L79" i="9"/>
  <c r="L182" i="9"/>
  <c r="L135" i="9"/>
  <c r="L136" i="9"/>
  <c r="J43" i="5"/>
  <c r="J29" i="6"/>
  <c r="J38" i="6"/>
  <c r="L64" i="9"/>
  <c r="L98" i="9"/>
  <c r="L154" i="9"/>
  <c r="L155" i="9"/>
  <c r="L37" i="5"/>
  <c r="L57" i="9"/>
  <c r="J23" i="23"/>
  <c r="J7" i="6"/>
  <c r="J26" i="6"/>
  <c r="J24" i="23"/>
  <c r="J48" i="6"/>
  <c r="J50" i="6"/>
  <c r="K74" i="9"/>
  <c r="K184" i="9"/>
  <c r="K186" i="9"/>
  <c r="K16" i="23"/>
  <c r="J55" i="6"/>
  <c r="J10" i="6"/>
  <c r="L185" i="9"/>
  <c r="L99" i="9"/>
  <c r="L27" i="5"/>
  <c r="L80" i="9"/>
  <c r="L138" i="9"/>
  <c r="L139" i="9"/>
  <c r="L32" i="5"/>
  <c r="L66" i="9"/>
  <c r="L67" i="9"/>
  <c r="L29" i="5"/>
  <c r="L90" i="9"/>
  <c r="L91" i="9"/>
  <c r="L26" i="5"/>
  <c r="L28" i="5"/>
  <c r="L30" i="6"/>
  <c r="K8" i="6"/>
  <c r="K17" i="23"/>
  <c r="K19" i="23"/>
  <c r="K75" i="9"/>
  <c r="L82" i="9"/>
  <c r="L83" i="9"/>
  <c r="L31" i="5"/>
  <c r="L41" i="5"/>
  <c r="L31" i="6"/>
  <c r="J25" i="23"/>
  <c r="J249" i="9"/>
  <c r="J52" i="6"/>
  <c r="J5" i="25"/>
  <c r="J9" i="25"/>
  <c r="L58" i="9"/>
  <c r="L23" i="5"/>
  <c r="J76" i="5"/>
  <c r="J250" i="9"/>
  <c r="L69" i="9"/>
  <c r="K24" i="5"/>
  <c r="K25" i="5"/>
  <c r="K21" i="23"/>
  <c r="K25" i="7"/>
  <c r="K24" i="7"/>
  <c r="K20" i="23"/>
  <c r="K43" i="5"/>
  <c r="K29" i="6"/>
  <c r="K38" i="6"/>
  <c r="L71" i="9"/>
  <c r="L181" i="9"/>
  <c r="K7" i="6"/>
  <c r="K26" i="6"/>
  <c r="K24" i="23"/>
  <c r="K48" i="6"/>
  <c r="K50" i="6"/>
  <c r="K23" i="23"/>
  <c r="K10" i="6"/>
  <c r="K55" i="6"/>
  <c r="J30" i="23"/>
  <c r="J29" i="23"/>
  <c r="J54" i="6"/>
  <c r="J56" i="6"/>
  <c r="J77" i="5"/>
  <c r="J79" i="5"/>
  <c r="J80" i="5"/>
  <c r="L72" i="9"/>
  <c r="K5" i="25"/>
  <c r="K9" i="25"/>
  <c r="K52" i="6"/>
  <c r="K25" i="23"/>
  <c r="K249" i="9"/>
  <c r="J10" i="5"/>
  <c r="J16" i="5"/>
  <c r="J20" i="5"/>
  <c r="J44" i="5"/>
  <c r="J82" i="5"/>
  <c r="K53" i="6"/>
  <c r="K250" i="9"/>
  <c r="K76" i="5"/>
  <c r="L74" i="9"/>
  <c r="L184" i="9"/>
  <c r="L186" i="9"/>
  <c r="L16" i="23"/>
  <c r="L8" i="6"/>
  <c r="L17" i="23"/>
  <c r="L19" i="23"/>
  <c r="L75" i="9"/>
  <c r="L24" i="5"/>
  <c r="L25" i="5"/>
  <c r="K30" i="23"/>
  <c r="K29" i="23"/>
  <c r="K54" i="6"/>
  <c r="K56" i="6"/>
  <c r="K77" i="5"/>
  <c r="K79" i="5"/>
  <c r="K80" i="5"/>
  <c r="K10" i="5"/>
  <c r="K16" i="5"/>
  <c r="K20" i="5"/>
  <c r="K44" i="5"/>
  <c r="K82" i="5"/>
  <c r="L53" i="6"/>
  <c r="L43" i="5"/>
  <c r="L29" i="6"/>
  <c r="L38" i="6"/>
  <c r="L25" i="7"/>
  <c r="L24" i="7"/>
  <c r="L20" i="23"/>
  <c r="L21" i="23"/>
  <c r="L23" i="23"/>
  <c r="L7" i="6"/>
  <c r="L24" i="23"/>
  <c r="L48" i="6"/>
  <c r="L50" i="6"/>
  <c r="L25" i="23"/>
  <c r="L249" i="9"/>
  <c r="L55" i="6"/>
  <c r="L10" i="6"/>
  <c r="L76" i="5"/>
  <c r="L250" i="9"/>
  <c r="L26" i="6"/>
  <c r="L5" i="25"/>
  <c r="L52" i="6"/>
  <c r="L77" i="5"/>
  <c r="L79" i="5"/>
  <c r="L80" i="5"/>
  <c r="L30" i="23"/>
  <c r="L29" i="23"/>
  <c r="L54" i="6"/>
  <c r="L56" i="6"/>
  <c r="L10" i="5"/>
  <c r="L16" i="5"/>
  <c r="L20" i="5"/>
  <c r="L44" i="5"/>
  <c r="L82" i="5"/>
  <c r="L6" i="25"/>
  <c r="C16" i="25"/>
  <c r="L9" i="25"/>
  <c r="C13" i="25"/>
  <c r="L10" i="25"/>
  <c r="C17" i="25"/>
  <c r="C18" i="25"/>
  <c r="C22" i="25"/>
  <c r="C24" i="25"/>
  <c r="G16" i="25"/>
</calcChain>
</file>

<file path=xl/sharedStrings.xml><?xml version="1.0" encoding="utf-8"?>
<sst xmlns="http://schemas.openxmlformats.org/spreadsheetml/2006/main" count="673" uniqueCount="367">
  <si>
    <t>PROFIT &amp; LOSS</t>
  </si>
  <si>
    <t>Particulars</t>
  </si>
  <si>
    <t>2020-21</t>
  </si>
  <si>
    <t>2021-22</t>
  </si>
  <si>
    <t>2022-23</t>
  </si>
  <si>
    <t>2023-24</t>
  </si>
  <si>
    <t>2024-25</t>
  </si>
  <si>
    <t>Revenue from operations (₹ crore)</t>
  </si>
  <si>
    <t>Other income net (₹ crore)</t>
  </si>
  <si>
    <t>Total Income (₹ crore)</t>
  </si>
  <si>
    <t>Manufacturing, construction and operating expenses:</t>
  </si>
  <si>
    <t>- Cost of raw materials and components consumed</t>
  </si>
  <si>
    <t>- Construction materials consumed</t>
  </si>
  <si>
    <t>- Purchase of stock-in-trade</t>
  </si>
  <si>
    <t>- Stores, spares and tools consumed</t>
  </si>
  <si>
    <t>- Sub-contracting charges</t>
  </si>
  <si>
    <t>- Changes in inventories (finished goods, WIP, stock-in-trade, property development)</t>
  </si>
  <si>
    <t>- Other manufacturing, construction and operating expenses</t>
  </si>
  <si>
    <t>- Finance cost of financial services business and finance lease activity</t>
  </si>
  <si>
    <t>Total manufacturing, construction and operating expenses</t>
  </si>
  <si>
    <t>Employee benefits expense</t>
  </si>
  <si>
    <t>Sales, administration and other expenses</t>
  </si>
  <si>
    <t>Finance costs</t>
  </si>
  <si>
    <t>Depreciation, amortisation, impairment and obsolescence</t>
  </si>
  <si>
    <t>Total Expenses</t>
  </si>
  <si>
    <t>Profit before exceptional items and tax</t>
  </si>
  <si>
    <t>Exceptional items before tax (net gain/loss)</t>
  </si>
  <si>
    <t>Profit before tax</t>
  </si>
  <si>
    <t>Tax expense</t>
  </si>
  <si>
    <t>Profit after tax</t>
  </si>
  <si>
    <t>Share in profit/(loss) after tax of joint ventures/associates (net)</t>
  </si>
  <si>
    <t>Profit for the period</t>
  </si>
  <si>
    <t>Dividend Amount</t>
  </si>
  <si>
    <t>Balance Sheet</t>
  </si>
  <si>
    <t>As at 31-3-2021 (₹ crore)</t>
  </si>
  <si>
    <t>ASSETS</t>
  </si>
  <si>
    <t>Non-current Assets:</t>
  </si>
  <si>
    <t>Property, plant &amp; equipment</t>
  </si>
  <si>
    <t>Capital work-in-progress</t>
  </si>
  <si>
    <t>Investment property</t>
  </si>
  <si>
    <t>Investment property under construction</t>
  </si>
  <si>
    <t>Goodwill</t>
  </si>
  <si>
    <t>Other intangible assets</t>
  </si>
  <si>
    <t>Intangible assets under development</t>
  </si>
  <si>
    <t>Right-of-use assets</t>
  </si>
  <si>
    <t>Investments in joint ventures &amp; associates</t>
  </si>
  <si>
    <t>Other investments</t>
  </si>
  <si>
    <t>Loans towards financing activities</t>
  </si>
  <si>
    <t>Other loans</t>
  </si>
  <si>
    <t>Other financial assets</t>
  </si>
  <si>
    <t>Deferred tax assets (net)</t>
  </si>
  <si>
    <t>Current Tax Assets (net)</t>
  </si>
  <si>
    <t>Other non-current assets</t>
  </si>
  <si>
    <t>Sub-total Non-current Assets</t>
  </si>
  <si>
    <t>Current Assets:</t>
  </si>
  <si>
    <t>Inventories</t>
  </si>
  <si>
    <t>Investments</t>
  </si>
  <si>
    <t>Trade receivables</t>
  </si>
  <si>
    <t>Cash and cash equivalents</t>
  </si>
  <si>
    <t>Other bank balances</t>
  </si>
  <si>
    <t>Other current assets</t>
  </si>
  <si>
    <t>Sub-total Current Assets</t>
  </si>
  <si>
    <t>Group(s) of assets classified as held for sale</t>
  </si>
  <si>
    <t>TOTAL ASSETS</t>
  </si>
  <si>
    <t>EQUITY &amp; LIABILITIES</t>
  </si>
  <si>
    <t>Equity:</t>
  </si>
  <si>
    <t>Equity share capital</t>
  </si>
  <si>
    <t>Other equity</t>
  </si>
  <si>
    <t>Equity attributable to owners of the Company</t>
  </si>
  <si>
    <t>Non-controlling interests</t>
  </si>
  <si>
    <t>TOTAL EQUITY</t>
  </si>
  <si>
    <t>Liabilities:</t>
  </si>
  <si>
    <t>Non-current liabilities:</t>
  </si>
  <si>
    <t>Borrowings</t>
  </si>
  <si>
    <t>Lease liabilities</t>
  </si>
  <si>
    <t>Other financial liabilities</t>
  </si>
  <si>
    <t>Provisions</t>
  </si>
  <si>
    <t>Deferred tax liabilities (net)</t>
  </si>
  <si>
    <t>Other non-current liabilities</t>
  </si>
  <si>
    <t>Sub-total Non-current Liabilities</t>
  </si>
  <si>
    <t>Current liabilities:</t>
  </si>
  <si>
    <t>Current maturities of long-term borrowings</t>
  </si>
  <si>
    <t>Trade payables:</t>
  </si>
  <si>
    <t>Due to micro and small enterprises</t>
  </si>
  <si>
    <t>Due to others</t>
  </si>
  <si>
    <t>Other current liabilities</t>
  </si>
  <si>
    <t>Current tax liabilities (net)</t>
  </si>
  <si>
    <t>Sub-total Current Liabilities</t>
  </si>
  <si>
    <t>Liabilities associated with group(s) of assets classified as held for sale</t>
  </si>
  <si>
    <t>TOTAL LIABILITIES</t>
  </si>
  <si>
    <t>TOTAL EQUITY &amp; LIABILITIES</t>
  </si>
  <si>
    <t>Cash Flows</t>
  </si>
  <si>
    <t>Cash from Operating Activity -</t>
  </si>
  <si>
    <t>Profit from operations</t>
  </si>
  <si>
    <t>Receivables</t>
  </si>
  <si>
    <t>Inventory</t>
  </si>
  <si>
    <t>Payables</t>
  </si>
  <si>
    <t>Loans Advances</t>
  </si>
  <si>
    <t>Working capital changes</t>
  </si>
  <si>
    <t>Direct taxes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</si>
  <si>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</si>
  <si>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</si>
  <si>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</si>
  <si>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</si>
  <si>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</si>
  <si>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</si>
  <si>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</si>
  <si>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</si>
  <si>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</si>
  <si>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</si>
  <si>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</si>
  <si>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 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</si>
  <si>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</si>
  <si>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</si>
  <si>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</si>
  <si>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</si>
  <si>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</si>
  <si>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</si>
  <si>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</si>
  <si>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</si>
  <si>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Index!A1</t>
  </si>
  <si>
    <t xml:space="preserve">Income Statement </t>
  </si>
  <si>
    <t xml:space="preserve">All the Figures In Crores </t>
  </si>
  <si>
    <t xml:space="preserve">Financial Year </t>
  </si>
  <si>
    <t xml:space="preserve">Revenue from operations </t>
  </si>
  <si>
    <t xml:space="preserve">Other income net </t>
  </si>
  <si>
    <t xml:space="preserve">Total Income </t>
  </si>
  <si>
    <t>COGS</t>
  </si>
  <si>
    <t xml:space="preserve">Gross Profit </t>
  </si>
  <si>
    <t>Finance cost of financial services business and finance lease activity</t>
  </si>
  <si>
    <t xml:space="preserve">Total Expense </t>
  </si>
  <si>
    <t>EBITDA</t>
  </si>
  <si>
    <t>EBIT</t>
  </si>
  <si>
    <t xml:space="preserve">Dividend Paid </t>
  </si>
  <si>
    <t>Transfer to Reserve</t>
  </si>
  <si>
    <t>Dividend Payout %</t>
  </si>
  <si>
    <t>Adjustment Into R&amp;S</t>
  </si>
  <si>
    <t xml:space="preserve">Diff in Reserve and surplus </t>
  </si>
  <si>
    <t xml:space="preserve">Current Assets </t>
  </si>
  <si>
    <t>Total Current Assets</t>
  </si>
  <si>
    <t>Non-Current Assets</t>
  </si>
  <si>
    <t>Total Tangible Assets</t>
  </si>
  <si>
    <t>Total Intangible Assets</t>
  </si>
  <si>
    <t>Total Other Fixed Assets:</t>
  </si>
  <si>
    <t>Total Non-Current Assets</t>
  </si>
  <si>
    <t xml:space="preserve">Total Assets </t>
  </si>
  <si>
    <t xml:space="preserve">Current Liabilities </t>
  </si>
  <si>
    <t xml:space="preserve">Total Trade Payables </t>
  </si>
  <si>
    <t xml:space="preserve">Total Current Liabilities </t>
  </si>
  <si>
    <t xml:space="preserve">Non-Current Liabilities </t>
  </si>
  <si>
    <t xml:space="preserve">Total Non-Current Liabilities </t>
  </si>
  <si>
    <t xml:space="preserve">Total Liabilities </t>
  </si>
  <si>
    <t xml:space="preserve">Equity </t>
  </si>
  <si>
    <t>Other equity (R&amp;S)</t>
  </si>
  <si>
    <t xml:space="preserve">Total Equity </t>
  </si>
  <si>
    <t xml:space="preserve">Total Liabilities &amp; Equity </t>
  </si>
  <si>
    <t xml:space="preserve">Balance Check </t>
  </si>
  <si>
    <t xml:space="preserve">Cash Flow Statement </t>
  </si>
  <si>
    <t xml:space="preserve">Cash Flow From Operating Avtivities </t>
  </si>
  <si>
    <t xml:space="preserve">Net Income </t>
  </si>
  <si>
    <t xml:space="preserve">Add: Depreciation </t>
  </si>
  <si>
    <t>Add: Interest</t>
  </si>
  <si>
    <t>Add: Tax</t>
  </si>
  <si>
    <t xml:space="preserve">Net Cash Inflow/(Outflow) from Operating Activities </t>
  </si>
  <si>
    <t xml:space="preserve">Cash Flow From Investing Activities </t>
  </si>
  <si>
    <t>CapEx (Tangible Assets)</t>
  </si>
  <si>
    <t>Addition (Intangible Assets)</t>
  </si>
  <si>
    <t>CapEx on other Fixed Assets</t>
  </si>
  <si>
    <t xml:space="preserve">Net Cash Inflow/(Outflow) from Investing Activities </t>
  </si>
  <si>
    <t xml:space="preserve">Cash Flow From Financing Activities </t>
  </si>
  <si>
    <t xml:space="preserve">Less: Interest Paid </t>
  </si>
  <si>
    <t xml:space="preserve">Net Cash Inflow/(Outflow) from Financing Activities </t>
  </si>
  <si>
    <t>Opening Cash Flow</t>
  </si>
  <si>
    <t>Adjustment in R&amp;S</t>
  </si>
  <si>
    <t xml:space="preserve">Less: Tax </t>
  </si>
  <si>
    <t>Net Cash Flow Closing Balance</t>
  </si>
  <si>
    <t xml:space="preserve">Scenario </t>
  </si>
  <si>
    <t>Drivers</t>
  </si>
  <si>
    <t xml:space="preserve">Income Statement Drivers </t>
  </si>
  <si>
    <t>Revenue</t>
  </si>
  <si>
    <t>Revenue Growth (Y-O-Y %)</t>
  </si>
  <si>
    <t>Scenario 1 (Pessimistic)</t>
  </si>
  <si>
    <t>Scenario 2 (Realistic)</t>
  </si>
  <si>
    <t xml:space="preserve">Scenario 3 (Optimistic) </t>
  </si>
  <si>
    <t>Cost of Goods Sold (COGS)</t>
  </si>
  <si>
    <t xml:space="preserve">Cogs </t>
  </si>
  <si>
    <t>COGS % of Revenue (Scenario 2 (Base )</t>
  </si>
  <si>
    <t xml:space="preserve">Operating &amp; Non-Operating Expenses </t>
  </si>
  <si>
    <t>Employee benefits expense (Growth Y-O-Y)</t>
  </si>
  <si>
    <t>Sales, administration and other expenses (Growth Y-O-Y)</t>
  </si>
  <si>
    <t>Tax Expenses</t>
  </si>
  <si>
    <t>Profit Before Tax</t>
  </si>
  <si>
    <t>Tax Rate</t>
  </si>
  <si>
    <t xml:space="preserve">Sr.no </t>
  </si>
  <si>
    <t xml:space="preserve">Years </t>
  </si>
  <si>
    <t xml:space="preserve">Revenue </t>
  </si>
  <si>
    <t>growth</t>
  </si>
  <si>
    <t>CAGR</t>
  </si>
  <si>
    <t>S.no</t>
  </si>
  <si>
    <t>Years</t>
  </si>
  <si>
    <t>Sales</t>
  </si>
  <si>
    <t>pv</t>
  </si>
  <si>
    <t>fv</t>
  </si>
  <si>
    <t xml:space="preserve">regration - function </t>
  </si>
  <si>
    <t>Balance Sheet Drivers</t>
  </si>
  <si>
    <t xml:space="preserve">COGS </t>
  </si>
  <si>
    <t>Inventories (as a % of COGS)</t>
  </si>
  <si>
    <t>Investments (as a % of Revenue)</t>
  </si>
  <si>
    <t>Trade Receivables (as a % of Revenue)</t>
  </si>
  <si>
    <t>Other Bank Balances (As a % of Revenue)</t>
  </si>
  <si>
    <t>Property, Plant &amp; Equipment</t>
  </si>
  <si>
    <t>Other Intangible Assets</t>
  </si>
  <si>
    <t>Intangible Assets under Development</t>
  </si>
  <si>
    <t>Right-of-Use Assets</t>
  </si>
  <si>
    <t>Other Investments</t>
  </si>
  <si>
    <t>Other Loans</t>
  </si>
  <si>
    <t>Other Financial Assets</t>
  </si>
  <si>
    <t>Deferred Tax Assets (Net)</t>
  </si>
  <si>
    <t>Current Tax Assets (Net)</t>
  </si>
  <si>
    <t>Other Non-Current Assets</t>
  </si>
  <si>
    <t>Capex Growth Rate</t>
  </si>
  <si>
    <t>Capex</t>
  </si>
  <si>
    <t>Gross Block</t>
  </si>
  <si>
    <t>Rate of Depreciation</t>
  </si>
  <si>
    <t>Amount of Depreciation</t>
  </si>
  <si>
    <t>Net Block</t>
  </si>
  <si>
    <t>Capital Work-in-Progress (CWIP)</t>
  </si>
  <si>
    <t xml:space="preserve">Investment Property </t>
  </si>
  <si>
    <t xml:space="preserve">Investments in JVs &amp; Associates </t>
  </si>
  <si>
    <t>Loans towards Financing Activities (Financial Services)</t>
  </si>
  <si>
    <t xml:space="preserve">Investment Property Under Contruction </t>
  </si>
  <si>
    <t xml:space="preserve">Total CapEx </t>
  </si>
  <si>
    <t xml:space="preserve">Total Addition to Intangibles </t>
  </si>
  <si>
    <t xml:space="preserve">Total Depreciation </t>
  </si>
  <si>
    <t xml:space="preserve">Total Amoisation </t>
  </si>
  <si>
    <t>Total D&amp;A</t>
  </si>
  <si>
    <t xml:space="preserve">Current Laibilities </t>
  </si>
  <si>
    <t>Total Operating Expenses</t>
  </si>
  <si>
    <t>Borrowings (as a % of TOE)</t>
  </si>
  <si>
    <t xml:space="preserve">Long Term Borrowing's </t>
  </si>
  <si>
    <t>Current Maturities of LTB ( as a % of LTB)</t>
  </si>
  <si>
    <t xml:space="preserve">Total Operating Expenses </t>
  </si>
  <si>
    <t xml:space="preserve">Lease Liabilities </t>
  </si>
  <si>
    <t>Due to M &amp; S Enterprises (As a % of COGS)</t>
  </si>
  <si>
    <t>Due to others (As a % of COGS)</t>
  </si>
  <si>
    <t xml:space="preserve">Add: New Debt Raised </t>
  </si>
  <si>
    <t xml:space="preserve">Total Debit </t>
  </si>
  <si>
    <t xml:space="preserve">Less: Debt Reapyment </t>
  </si>
  <si>
    <t>Borrowings (Closing Balance)</t>
  </si>
  <si>
    <t xml:space="preserve">finance cost </t>
  </si>
  <si>
    <t xml:space="preserve">Rate of Interest </t>
  </si>
  <si>
    <t xml:space="preserve">Total Revenue </t>
  </si>
  <si>
    <t>YOY Change in DTL</t>
  </si>
  <si>
    <t>Add: New Equity Infusion</t>
  </si>
  <si>
    <t xml:space="preserve">Transfer to Reserve &amp; Surplus </t>
  </si>
  <si>
    <t xml:space="preserve">Total Shareholder's Funds </t>
  </si>
  <si>
    <t>Profit for the period (Net Income)</t>
  </si>
  <si>
    <t>Investments in joint ventures &amp; associa</t>
  </si>
  <si>
    <t>tes -3.47%</t>
  </si>
  <si>
    <t>Asset</t>
  </si>
  <si>
    <t xml:space="preserve">Weigheted Average Cost Of Capital </t>
  </si>
  <si>
    <t>All the figures in Rs Crores</t>
  </si>
  <si>
    <t xml:space="preserve">Weigheted Average Cost of Capital </t>
  </si>
  <si>
    <t>Equity (Cr)</t>
  </si>
  <si>
    <t>Debt (cr)</t>
  </si>
  <si>
    <t xml:space="preserve">Cost of Debt </t>
  </si>
  <si>
    <t xml:space="preserve">Tax Rate </t>
  </si>
  <si>
    <t>D/(D+E)</t>
  </si>
  <si>
    <t xml:space="preserve">After Tax Cost of Debt </t>
  </si>
  <si>
    <t>Risk Free Rate (10 yr Treasury Yield)</t>
  </si>
  <si>
    <t>Expected Market Return</t>
  </si>
  <si>
    <t xml:space="preserve">Market Risk Premium </t>
  </si>
  <si>
    <t xml:space="preserve">Beta </t>
  </si>
  <si>
    <t>E/(D+E)</t>
  </si>
  <si>
    <t xml:space="preserve">Cost of Equity </t>
  </si>
  <si>
    <t>WACC</t>
  </si>
  <si>
    <t>Discounted Cash Flow Model</t>
  </si>
  <si>
    <t>Unlevered Free Cash Flow</t>
  </si>
  <si>
    <t xml:space="preserve">Projection Year </t>
  </si>
  <si>
    <t>Present Value of the Free Cash Flow</t>
  </si>
  <si>
    <t xml:space="preserve">Implied Share Price Calculation </t>
  </si>
  <si>
    <t xml:space="preserve">Sum of PV of FCF </t>
  </si>
  <si>
    <t>Sensitivity Table</t>
  </si>
  <si>
    <t>Growth Rate</t>
  </si>
  <si>
    <t xml:space="preserve">Growth </t>
  </si>
  <si>
    <t xml:space="preserve">Terminal Value </t>
  </si>
  <si>
    <t xml:space="preserve">PV of Terminal Value </t>
  </si>
  <si>
    <t>Enterprice Value</t>
  </si>
  <si>
    <t>(+) Cash</t>
  </si>
  <si>
    <t>(-) Debt</t>
  </si>
  <si>
    <t xml:space="preserve">(-) Minority Interest </t>
  </si>
  <si>
    <t>Equity Value</t>
  </si>
  <si>
    <t>Diluted Shares Outstanding (cr.)</t>
  </si>
  <si>
    <t xml:space="preserve">Implied Share Price </t>
  </si>
  <si>
    <t>Comperable Companies analysis</t>
  </si>
  <si>
    <t>Market Data</t>
  </si>
  <si>
    <t>Financials</t>
  </si>
  <si>
    <t xml:space="preserve">Valuation </t>
  </si>
  <si>
    <t>Company</t>
  </si>
  <si>
    <t>Share Price (Rs./Share)</t>
  </si>
  <si>
    <t>Equity Value (Market Cap)</t>
  </si>
  <si>
    <t xml:space="preserve">No of Shares Outstanding </t>
  </si>
  <si>
    <t>Debt</t>
  </si>
  <si>
    <t>Cash Equal</t>
  </si>
  <si>
    <t xml:space="preserve">Net Debt </t>
  </si>
  <si>
    <t xml:space="preserve">Net Icome </t>
  </si>
  <si>
    <t xml:space="preserve">EV/Reveneu </t>
  </si>
  <si>
    <t>EV/EBITDA</t>
  </si>
  <si>
    <t>P/E</t>
  </si>
  <si>
    <t>Larsen &amp; Toubro</t>
  </si>
  <si>
    <t>Hind.Aeronautics</t>
  </si>
  <si>
    <t>Bharat Electron</t>
  </si>
  <si>
    <t>Cummins India</t>
  </si>
  <si>
    <t>Siemens Ener.Ind</t>
  </si>
  <si>
    <t>CG Power &amp; Ind</t>
  </si>
  <si>
    <t>Polycab India</t>
  </si>
  <si>
    <t>Mazagon Dock</t>
  </si>
  <si>
    <t>Siemens</t>
  </si>
  <si>
    <t>A B B</t>
  </si>
  <si>
    <t>High</t>
  </si>
  <si>
    <t>75th Percentile</t>
  </si>
  <si>
    <t>Average</t>
  </si>
  <si>
    <t>Median</t>
  </si>
  <si>
    <t xml:space="preserve">25 Percentile </t>
  </si>
  <si>
    <t>Low</t>
  </si>
  <si>
    <t xml:space="preserve">Enjoy Lemon Valuation </t>
  </si>
  <si>
    <t xml:space="preserve">EV/Revenue </t>
  </si>
  <si>
    <t>Implied Enterprise Value</t>
  </si>
  <si>
    <t>Implied Market Value</t>
  </si>
  <si>
    <t xml:space="preserve">Shares Outstanding </t>
  </si>
  <si>
    <t>Implied Value Per Share</t>
  </si>
  <si>
    <t>TV</t>
  </si>
  <si>
    <t>pv year tv</t>
  </si>
  <si>
    <t xml:space="preserve">Company Name: </t>
  </si>
  <si>
    <t>Larsen &amp; Toubro Limited (L&amp;T)</t>
  </si>
  <si>
    <t xml:space="preserve">Parent Organization: </t>
  </si>
  <si>
    <t>It is an Independent Company</t>
  </si>
  <si>
    <t xml:space="preserve">Headquartes: </t>
  </si>
  <si>
    <t>Mumbai, Maharashtra, India</t>
  </si>
  <si>
    <t xml:space="preserve">Founder: </t>
  </si>
  <si>
    <t>Henning Holck-Larsen</t>
  </si>
  <si>
    <t>Søren Kristian Toubro</t>
  </si>
  <si>
    <t>Sheet No</t>
  </si>
  <si>
    <t xml:space="preserve">Sheet Name </t>
  </si>
  <si>
    <t xml:space="preserve">Link to Sheet </t>
  </si>
  <si>
    <t xml:space="preserve">Index </t>
  </si>
  <si>
    <t>Income Statement Drivers</t>
  </si>
  <si>
    <t>Income Sheet Drivers'!A1</t>
  </si>
  <si>
    <t>Balance Sheet Drivers'!A1</t>
  </si>
  <si>
    <t xml:space="preserve">Inocme Statement </t>
  </si>
  <si>
    <t>Income Statement'!A1</t>
  </si>
  <si>
    <t>Balance Sheet'!A1</t>
  </si>
  <si>
    <t>Cashflow Statement</t>
  </si>
  <si>
    <t>Cashflow Statement'!A1</t>
  </si>
  <si>
    <t>Weigheted Average Cost Of Cap..'!A1</t>
  </si>
  <si>
    <t>DCF</t>
  </si>
  <si>
    <t>Discounted Cash Flow Model'!A1</t>
  </si>
  <si>
    <t>Comperative Analysis</t>
  </si>
  <si>
    <t>Comperative Analysis'!A1</t>
  </si>
  <si>
    <t>Income Statement Raw Data</t>
  </si>
  <si>
    <t>IS!A1</t>
  </si>
  <si>
    <t>Balance Sheet Raw Data</t>
  </si>
  <si>
    <t>BS!A1</t>
  </si>
  <si>
    <t>Cashflow Statement Raw Data</t>
  </si>
  <si>
    <t>CF!A1</t>
  </si>
  <si>
    <t>forcast</t>
  </si>
  <si>
    <t>forcast!A1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</si>
</sst>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[$-409]mmm\-yy;@"/>
    <numFmt numFmtId="166" formatCode="yyyy\A"/>
    <numFmt numFmtId="167" formatCode="yyyy\E"/>
    <numFmt numFmtId="168" formatCode="&quot;₹&quot;\ #,##0.0;&quot;₹&quot;\ \(#,##0.0\);\ \-"/>
    <numFmt numFmtId="169" formatCode="0.0%"/>
    <numFmt numFmtId="170" formatCode="_ * #,##0.0_ ;_ * \-#,##0.0_ ;_ * &quot;-&quot;??_ ;_ @_ "/>
    <numFmt numFmtId="171" formatCode="&quot;₹&quot;\ #,##0;&quot;₹&quot;\ \(#,##0\);\ \-"/>
    <numFmt numFmtId="172" formatCode="_ * #,##0_ ;_ * \-#,##0_ ;_ * &quot;-&quot;??_ ;_ @_ "/>
    <numFmt numFmtId="173" formatCode="#,##0.0;\(\-#,##0.0\)"/>
    <numFmt numFmtId="174" formatCode="0.0"/>
    <numFmt numFmtId="175" formatCode="0.0\x"/>
  </numFmts>
  <fonts count="4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name val="Aptos Narrow"/>
      <family val="2"/>
      <scheme val="minor"/>
    </font>
    <font>
      <sz val="1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color theme="4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rgb="FF3333CC"/>
      <name val="Aptos Narrow"/>
      <family val="2"/>
      <scheme val="minor"/>
    </font>
    <font>
      <sz val="10"/>
      <color rgb="FF3333CC"/>
      <name val="Arial"/>
      <family val="2"/>
    </font>
    <font>
      <sz val="11"/>
      <color rgb="FF3333CC"/>
      <name val="Calibri"/>
      <family val="2"/>
    </font>
    <font>
      <b/>
      <sz val="11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17">
    <xf numFmtId="0" fontId="0" fillId="0" borderId="0" xfId="0"/>
    <xf numFmtId="0" fontId="2" fillId="0" borderId="0" xfId="3"/>
    <xf numFmtId="164" fontId="12" fillId="0" borderId="0" xfId="4" applyFont="1" applyBorder="1" applyAlignment="1"/>
    <xf numFmtId="0" fontId="4" fillId="0" borderId="0" xfId="3" applyFont="1"/>
    <xf numFmtId="4" fontId="2" fillId="0" borderId="0" xfId="3" applyNumberFormat="1"/>
    <xf numFmtId="0" fontId="13" fillId="0" borderId="0" xfId="0" applyFont="1"/>
    <xf numFmtId="0" fontId="3" fillId="2" borderId="0" xfId="0" applyFont="1" applyFill="1"/>
    <xf numFmtId="0" fontId="5" fillId="0" borderId="0" xfId="3" applyFont="1"/>
    <xf numFmtId="0" fontId="9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11" fillId="0" borderId="0" xfId="3" applyFont="1"/>
    <xf numFmtId="4" fontId="5" fillId="0" borderId="0" xfId="3" applyNumberFormat="1" applyFont="1"/>
    <xf numFmtId="0" fontId="8" fillId="0" borderId="0" xfId="3" applyFont="1"/>
    <xf numFmtId="4" fontId="2" fillId="0" borderId="0" xfId="3" applyNumberFormat="1" applyAlignment="1">
      <alignment horizontal="right"/>
    </xf>
    <xf numFmtId="0" fontId="2" fillId="0" borderId="0" xfId="3" applyAlignment="1">
      <alignment horizontal="right"/>
    </xf>
    <xf numFmtId="0" fontId="16" fillId="0" borderId="0" xfId="3" applyFont="1" applyAlignment="1">
      <alignment horizontal="left" vertical="center" wrapText="1"/>
    </xf>
    <xf numFmtId="0" fontId="17" fillId="0" borderId="0" xfId="3" applyFont="1" applyAlignment="1">
      <alignment horizontal="left" vertical="center" wrapText="1"/>
    </xf>
    <xf numFmtId="4" fontId="17" fillId="0" borderId="0" xfId="3" applyNumberFormat="1" applyFont="1" applyAlignment="1">
      <alignment horizontal="left" vertical="center" wrapText="1"/>
    </xf>
    <xf numFmtId="0" fontId="7" fillId="0" borderId="0" xfId="5" applyFont="1" applyFill="1" applyAlignment="1">
      <alignment vertical="center"/>
    </xf>
    <xf numFmtId="0" fontId="5" fillId="0" borderId="2" xfId="3" applyFont="1" applyBorder="1" applyAlignment="1">
      <alignment horizontal="left" vertical="center"/>
    </xf>
    <xf numFmtId="3" fontId="5" fillId="0" borderId="2" xfId="3" applyNumberFormat="1" applyFont="1" applyBorder="1" applyAlignment="1">
      <alignment horizontal="right" vertical="center"/>
    </xf>
    <xf numFmtId="0" fontId="5" fillId="0" borderId="0" xfId="3" applyFont="1" applyAlignment="1">
      <alignment horizontal="left" vertical="center"/>
    </xf>
    <xf numFmtId="3" fontId="5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right" vertical="center"/>
    </xf>
    <xf numFmtId="0" fontId="5" fillId="0" borderId="2" xfId="3" applyFont="1" applyBorder="1" applyAlignment="1">
      <alignment horizontal="right" vertical="center"/>
    </xf>
    <xf numFmtId="0" fontId="8" fillId="0" borderId="1" xfId="3" applyFont="1" applyBorder="1" applyAlignment="1">
      <alignment horizontal="left" vertical="center"/>
    </xf>
    <xf numFmtId="17" fontId="8" fillId="0" borderId="1" xfId="3" applyNumberFormat="1" applyFont="1" applyBorder="1" applyAlignment="1">
      <alignment horizontal="right" vertical="center"/>
    </xf>
    <xf numFmtId="164" fontId="2" fillId="0" borderId="0" xfId="4" applyFont="1" applyBorder="1"/>
    <xf numFmtId="10" fontId="5" fillId="5" borderId="0" xfId="6" applyNumberFormat="1" applyFont="1" applyFill="1" applyBorder="1"/>
    <xf numFmtId="169" fontId="5" fillId="4" borderId="0" xfId="6" applyNumberFormat="1" applyFont="1" applyFill="1" applyBorder="1"/>
    <xf numFmtId="10" fontId="2" fillId="4" borderId="0" xfId="6" applyNumberFormat="1" applyFont="1" applyFill="1" applyBorder="1"/>
    <xf numFmtId="10" fontId="2" fillId="4" borderId="8" xfId="6" applyNumberFormat="1" applyFont="1" applyFill="1" applyBorder="1"/>
    <xf numFmtId="169" fontId="5" fillId="4" borderId="8" xfId="6" applyNumberFormat="1" applyFont="1" applyFill="1" applyBorder="1"/>
    <xf numFmtId="0" fontId="6" fillId="0" borderId="0" xfId="5" applyAlignment="1">
      <alignment horizontal="center" vertical="center"/>
    </xf>
    <xf numFmtId="166" fontId="3" fillId="2" borderId="0" xfId="0" applyNumberFormat="1" applyFont="1" applyFill="1"/>
    <xf numFmtId="167" fontId="8" fillId="3" borderId="0" xfId="0" applyNumberFormat="1" applyFont="1" applyFill="1"/>
    <xf numFmtId="171" fontId="0" fillId="4" borderId="0" xfId="0" applyNumberFormat="1" applyFill="1"/>
    <xf numFmtId="171" fontId="0" fillId="5" borderId="0" xfId="0" applyNumberFormat="1" applyFill="1"/>
    <xf numFmtId="0" fontId="5" fillId="0" borderId="0" xfId="0" applyFont="1"/>
    <xf numFmtId="171" fontId="4" fillId="4" borderId="5" xfId="0" applyNumberFormat="1" applyFont="1" applyFill="1" applyBorder="1"/>
    <xf numFmtId="171" fontId="4" fillId="5" borderId="5" xfId="0" applyNumberFormat="1" applyFont="1" applyFill="1" applyBorder="1"/>
    <xf numFmtId="0" fontId="5" fillId="0" borderId="0" xfId="0" applyFont="1" applyAlignment="1">
      <alignment horizontal="left" vertical="center"/>
    </xf>
    <xf numFmtId="171" fontId="4" fillId="4" borderId="3" xfId="0" applyNumberFormat="1" applyFont="1" applyFill="1" applyBorder="1"/>
    <xf numFmtId="171" fontId="4" fillId="5" borderId="3" xfId="0" applyNumberFormat="1" applyFont="1" applyFill="1" applyBorder="1"/>
    <xf numFmtId="0" fontId="4" fillId="0" borderId="0" xfId="0" applyFont="1"/>
    <xf numFmtId="171" fontId="0" fillId="4" borderId="0" xfId="6" applyNumberFormat="1" applyFont="1" applyFill="1"/>
    <xf numFmtId="0" fontId="8" fillId="0" borderId="0" xfId="0" applyFont="1"/>
    <xf numFmtId="171" fontId="4" fillId="4" borderId="0" xfId="0" applyNumberFormat="1" applyFont="1" applyFill="1"/>
    <xf numFmtId="171" fontId="4" fillId="5" borderId="0" xfId="0" applyNumberFormat="1" applyFont="1" applyFill="1"/>
    <xf numFmtId="171" fontId="4" fillId="4" borderId="6" xfId="0" applyNumberFormat="1" applyFont="1" applyFill="1" applyBorder="1"/>
    <xf numFmtId="171" fontId="4" fillId="5" borderId="6" xfId="0" applyNumberFormat="1" applyFont="1" applyFill="1" applyBorder="1"/>
    <xf numFmtId="0" fontId="3" fillId="2" borderId="3" xfId="0" applyFont="1" applyFill="1" applyBorder="1"/>
    <xf numFmtId="166" fontId="3" fillId="2" borderId="3" xfId="0" applyNumberFormat="1" applyFont="1" applyFill="1" applyBorder="1"/>
    <xf numFmtId="166" fontId="3" fillId="2" borderId="9" xfId="0" applyNumberFormat="1" applyFont="1" applyFill="1" applyBorder="1"/>
    <xf numFmtId="167" fontId="8" fillId="3" borderId="3" xfId="0" applyNumberFormat="1" applyFont="1" applyFill="1" applyBorder="1"/>
    <xf numFmtId="171" fontId="0" fillId="4" borderId="8" xfId="0" applyNumberFormat="1" applyFill="1" applyBorder="1"/>
    <xf numFmtId="171" fontId="4" fillId="4" borderId="9" xfId="0" applyNumberFormat="1" applyFont="1" applyFill="1" applyBorder="1"/>
    <xf numFmtId="171" fontId="4" fillId="4" borderId="8" xfId="0" applyNumberFormat="1" applyFont="1" applyFill="1" applyBorder="1"/>
    <xf numFmtId="171" fontId="4" fillId="4" borderId="7" xfId="0" applyNumberFormat="1" applyFont="1" applyFill="1" applyBorder="1"/>
    <xf numFmtId="171" fontId="5" fillId="4" borderId="8" xfId="0" applyNumberFormat="1" applyFont="1" applyFill="1" applyBorder="1"/>
    <xf numFmtId="168" fontId="0" fillId="4" borderId="0" xfId="0" applyNumberFormat="1" applyFill="1"/>
    <xf numFmtId="168" fontId="0" fillId="4" borderId="8" xfId="0" applyNumberFormat="1" applyFill="1" applyBorder="1"/>
    <xf numFmtId="168" fontId="0" fillId="5" borderId="0" xfId="0" applyNumberFormat="1" applyFill="1"/>
    <xf numFmtId="0" fontId="20" fillId="0" borderId="0" xfId="0" applyFont="1"/>
    <xf numFmtId="168" fontId="5" fillId="4" borderId="8" xfId="0" applyNumberFormat="1" applyFont="1" applyFill="1" applyBorder="1"/>
    <xf numFmtId="165" fontId="5" fillId="0" borderId="0" xfId="0" applyNumberFormat="1" applyFont="1" applyAlignment="1">
      <alignment horizontal="center"/>
    </xf>
    <xf numFmtId="9" fontId="0" fillId="0" borderId="0" xfId="2" applyFont="1"/>
    <xf numFmtId="0" fontId="0" fillId="0" borderId="0" xfId="0" applyAlignment="1">
      <alignment vertical="center" wrapText="1"/>
    </xf>
    <xf numFmtId="0" fontId="6" fillId="0" borderId="0" xfId="5" applyAlignment="1">
      <alignment vertical="center" wrapText="1"/>
    </xf>
    <xf numFmtId="3" fontId="0" fillId="0" borderId="0" xfId="0" applyNumberFormat="1" applyAlignment="1">
      <alignment vertical="center" wrapText="1"/>
    </xf>
    <xf numFmtId="165" fontId="26" fillId="7" borderId="0" xfId="7" applyNumberFormat="1" applyFont="1" applyFill="1" applyAlignment="1">
      <alignment horizontal="center"/>
    </xf>
    <xf numFmtId="9" fontId="0" fillId="0" borderId="0" xfId="0" applyNumberFormat="1"/>
    <xf numFmtId="0" fontId="25" fillId="8" borderId="0" xfId="0" applyFont="1" applyFill="1" applyAlignment="1">
      <alignment horizontal="center"/>
    </xf>
    <xf numFmtId="0" fontId="25" fillId="8" borderId="0" xfId="0" applyFont="1" applyFill="1"/>
    <xf numFmtId="0" fontId="25" fillId="7" borderId="0" xfId="0" applyFont="1" applyFill="1"/>
    <xf numFmtId="0" fontId="0" fillId="0" borderId="0" xfId="0" applyAlignment="1">
      <alignment horizontal="center"/>
    </xf>
    <xf numFmtId="0" fontId="27" fillId="0" borderId="0" xfId="7" applyFont="1"/>
    <xf numFmtId="165" fontId="28" fillId="7" borderId="0" xfId="7" applyNumberFormat="1" applyFont="1" applyFill="1" applyAlignment="1">
      <alignment horizontal="center"/>
    </xf>
    <xf numFmtId="9" fontId="29" fillId="7" borderId="0" xfId="2" applyFont="1" applyFill="1" applyAlignment="1">
      <alignment horizontal="center"/>
    </xf>
    <xf numFmtId="0" fontId="27" fillId="0" borderId="0" xfId="2" applyNumberFormat="1" applyFont="1"/>
    <xf numFmtId="2" fontId="27" fillId="0" borderId="0" xfId="7" applyNumberFormat="1" applyFont="1"/>
    <xf numFmtId="9" fontId="0" fillId="0" borderId="0" xfId="2" applyFont="1" applyAlignment="1">
      <alignment horizontal="center"/>
    </xf>
    <xf numFmtId="10" fontId="2" fillId="9" borderId="0" xfId="6" applyNumberFormat="1" applyFont="1" applyFill="1" applyBorder="1"/>
    <xf numFmtId="169" fontId="0" fillId="4" borderId="0" xfId="6" applyNumberFormat="1" applyFont="1" applyFill="1"/>
    <xf numFmtId="169" fontId="0" fillId="4" borderId="8" xfId="6" applyNumberFormat="1" applyFont="1" applyFill="1" applyBorder="1"/>
    <xf numFmtId="169" fontId="0" fillId="5" borderId="0" xfId="6" applyNumberFormat="1" applyFont="1" applyFill="1"/>
    <xf numFmtId="9" fontId="0" fillId="4" borderId="0" xfId="6" applyFont="1" applyFill="1"/>
    <xf numFmtId="9" fontId="0" fillId="4" borderId="8" xfId="6" applyFont="1" applyFill="1" applyBorder="1"/>
    <xf numFmtId="9" fontId="0" fillId="5" borderId="0" xfId="6" applyFont="1" applyFill="1"/>
    <xf numFmtId="172" fontId="0" fillId="4" borderId="0" xfId="4" applyNumberFormat="1" applyFont="1" applyFill="1"/>
    <xf numFmtId="172" fontId="0" fillId="4" borderId="8" xfId="4" applyNumberFormat="1" applyFont="1" applyFill="1" applyBorder="1"/>
    <xf numFmtId="172" fontId="0" fillId="5" borderId="0" xfId="4" applyNumberFormat="1" applyFont="1" applyFill="1"/>
    <xf numFmtId="171" fontId="0" fillId="4" borderId="8" xfId="6" applyNumberFormat="1" applyFont="1" applyFill="1" applyBorder="1"/>
    <xf numFmtId="9" fontId="30" fillId="5" borderId="0" xfId="6" applyFont="1" applyFill="1"/>
    <xf numFmtId="171" fontId="30" fillId="5" borderId="0" xfId="6" applyNumberFormat="1" applyFont="1" applyFill="1"/>
    <xf numFmtId="171" fontId="0" fillId="4" borderId="6" xfId="0" applyNumberFormat="1" applyFill="1" applyBorder="1"/>
    <xf numFmtId="171" fontId="0" fillId="4" borderId="11" xfId="0" applyNumberFormat="1" applyFill="1" applyBorder="1"/>
    <xf numFmtId="171" fontId="0" fillId="5" borderId="6" xfId="0" applyNumberFormat="1" applyFill="1" applyBorder="1"/>
    <xf numFmtId="171" fontId="4" fillId="4" borderId="12" xfId="0" applyNumberFormat="1" applyFont="1" applyFill="1" applyBorder="1"/>
    <xf numFmtId="9" fontId="30" fillId="5" borderId="0" xfId="6" applyFont="1" applyFill="1" applyBorder="1"/>
    <xf numFmtId="0" fontId="30" fillId="0" borderId="0" xfId="0" applyFont="1"/>
    <xf numFmtId="168" fontId="19" fillId="5" borderId="0" xfId="0" applyNumberFormat="1" applyFont="1" applyFill="1"/>
    <xf numFmtId="0" fontId="8" fillId="0" borderId="3" xfId="0" applyFont="1" applyBorder="1"/>
    <xf numFmtId="168" fontId="4" fillId="4" borderId="3" xfId="0" applyNumberFormat="1" applyFont="1" applyFill="1" applyBorder="1"/>
    <xf numFmtId="168" fontId="4" fillId="4" borderId="9" xfId="0" applyNumberFormat="1" applyFont="1" applyFill="1" applyBorder="1"/>
    <xf numFmtId="168" fontId="4" fillId="5" borderId="3" xfId="0" applyNumberFormat="1" applyFont="1" applyFill="1" applyBorder="1"/>
    <xf numFmtId="168" fontId="4" fillId="4" borderId="0" xfId="0" applyNumberFormat="1" applyFont="1" applyFill="1"/>
    <xf numFmtId="168" fontId="4" fillId="4" borderId="8" xfId="0" applyNumberFormat="1" applyFont="1" applyFill="1" applyBorder="1"/>
    <xf numFmtId="168" fontId="4" fillId="5" borderId="0" xfId="0" applyNumberFormat="1" applyFont="1" applyFill="1"/>
    <xf numFmtId="166" fontId="3" fillId="2" borderId="8" xfId="0" applyNumberFormat="1" applyFont="1" applyFill="1" applyBorder="1"/>
    <xf numFmtId="164" fontId="0" fillId="0" borderId="0" xfId="4" applyFont="1" applyBorder="1" applyAlignment="1"/>
    <xf numFmtId="164" fontId="0" fillId="0" borderId="0" xfId="4" applyFont="1" applyBorder="1"/>
    <xf numFmtId="2" fontId="0" fillId="0" borderId="0" xfId="0" applyNumberFormat="1"/>
    <xf numFmtId="10" fontId="0" fillId="0" borderId="0" xfId="0" applyNumberFormat="1"/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6" borderId="0" xfId="0" applyNumberFormat="1" applyFill="1" applyAlignment="1">
      <alignment vertical="center" wrapText="1"/>
    </xf>
    <xf numFmtId="10" fontId="0" fillId="6" borderId="0" xfId="0" applyNumberFormat="1" applyFill="1"/>
    <xf numFmtId="168" fontId="0" fillId="10" borderId="0" xfId="0" applyNumberFormat="1" applyFill="1"/>
    <xf numFmtId="171" fontId="0" fillId="0" borderId="0" xfId="0" applyNumberFormat="1"/>
    <xf numFmtId="0" fontId="4" fillId="0" borderId="3" xfId="3" applyFont="1" applyBorder="1"/>
    <xf numFmtId="169" fontId="2" fillId="0" borderId="0" xfId="6" applyNumberFormat="1" applyFont="1"/>
    <xf numFmtId="10" fontId="2" fillId="0" borderId="0" xfId="6" applyNumberFormat="1" applyFont="1"/>
    <xf numFmtId="10" fontId="2" fillId="0" borderId="0" xfId="3" applyNumberFormat="1"/>
    <xf numFmtId="0" fontId="35" fillId="0" borderId="0" xfId="3" applyFont="1"/>
    <xf numFmtId="0" fontId="2" fillId="0" borderId="3" xfId="3" applyBorder="1"/>
    <xf numFmtId="169" fontId="4" fillId="0" borderId="3" xfId="3" applyNumberFormat="1" applyFont="1" applyBorder="1"/>
    <xf numFmtId="169" fontId="2" fillId="0" borderId="0" xfId="3" applyNumberFormat="1"/>
    <xf numFmtId="10" fontId="4" fillId="0" borderId="3" xfId="3" applyNumberFormat="1" applyFont="1" applyBorder="1"/>
    <xf numFmtId="164" fontId="2" fillId="0" borderId="0" xfId="9" applyFont="1" applyBorder="1"/>
    <xf numFmtId="2" fontId="2" fillId="0" borderId="0" xfId="3" applyNumberFormat="1"/>
    <xf numFmtId="173" fontId="2" fillId="11" borderId="0" xfId="3" applyNumberFormat="1" applyFill="1"/>
    <xf numFmtId="173" fontId="2" fillId="5" borderId="0" xfId="3" applyNumberFormat="1" applyFill="1"/>
    <xf numFmtId="169" fontId="2" fillId="11" borderId="0" xfId="6" applyNumberFormat="1" applyFont="1" applyFill="1" applyBorder="1"/>
    <xf numFmtId="169" fontId="2" fillId="5" borderId="0" xfId="6" applyNumberFormat="1" applyFont="1" applyFill="1" applyBorder="1" applyAlignment="1">
      <alignment horizontal="right"/>
    </xf>
    <xf numFmtId="0" fontId="2" fillId="12" borderId="3" xfId="3" applyFill="1" applyBorder="1"/>
    <xf numFmtId="10" fontId="2" fillId="4" borderId="0" xfId="6" applyNumberFormat="1" applyFont="1" applyFill="1" applyBorder="1" applyAlignment="1">
      <alignment horizontal="center"/>
    </xf>
    <xf numFmtId="0" fontId="34" fillId="0" borderId="0" xfId="3" applyFont="1"/>
    <xf numFmtId="169" fontId="2" fillId="4" borderId="0" xfId="6" applyNumberFormat="1" applyFont="1" applyFill="1" applyBorder="1" applyAlignment="1">
      <alignment horizontal="center"/>
    </xf>
    <xf numFmtId="0" fontId="3" fillId="2" borderId="3" xfId="3" applyFont="1" applyFill="1" applyBorder="1"/>
    <xf numFmtId="166" fontId="3" fillId="2" borderId="3" xfId="3" applyNumberFormat="1" applyFont="1" applyFill="1" applyBorder="1"/>
    <xf numFmtId="167" fontId="8" fillId="3" borderId="3" xfId="3" applyNumberFormat="1" applyFont="1" applyFill="1" applyBorder="1"/>
    <xf numFmtId="166" fontId="3" fillId="2" borderId="9" xfId="3" applyNumberFormat="1" applyFont="1" applyFill="1" applyBorder="1"/>
    <xf numFmtId="171" fontId="2" fillId="11" borderId="0" xfId="3" applyNumberFormat="1" applyFill="1"/>
    <xf numFmtId="169" fontId="2" fillId="11" borderId="8" xfId="6" applyNumberFormat="1" applyFont="1" applyFill="1" applyBorder="1"/>
    <xf numFmtId="172" fontId="19" fillId="11" borderId="8" xfId="9" applyNumberFormat="1" applyFont="1" applyFill="1" applyBorder="1"/>
    <xf numFmtId="173" fontId="2" fillId="11" borderId="8" xfId="3" applyNumberFormat="1" applyFill="1" applyBorder="1"/>
    <xf numFmtId="171" fontId="2" fillId="11" borderId="0" xfId="9" applyNumberFormat="1" applyFont="1" applyFill="1"/>
    <xf numFmtId="171" fontId="2" fillId="11" borderId="0" xfId="6" applyNumberFormat="1" applyFont="1" applyFill="1" applyBorder="1"/>
    <xf numFmtId="171" fontId="2" fillId="11" borderId="8" xfId="6" applyNumberFormat="1" applyFont="1" applyFill="1" applyBorder="1"/>
    <xf numFmtId="171" fontId="2" fillId="5" borderId="0" xfId="6" applyNumberFormat="1" applyFont="1" applyFill="1" applyBorder="1" applyAlignment="1">
      <alignment horizontal="right"/>
    </xf>
    <xf numFmtId="171" fontId="2" fillId="5" borderId="0" xfId="9" applyNumberFormat="1" applyFont="1" applyFill="1" applyBorder="1" applyAlignment="1">
      <alignment horizontal="right"/>
    </xf>
    <xf numFmtId="171" fontId="2" fillId="0" borderId="0" xfId="3" applyNumberFormat="1" applyAlignment="1">
      <alignment horizontal="center"/>
    </xf>
    <xf numFmtId="171" fontId="2" fillId="0" borderId="0" xfId="3" applyNumberFormat="1"/>
    <xf numFmtId="171" fontId="5" fillId="4" borderId="0" xfId="3" applyNumberFormat="1" applyFont="1" applyFill="1" applyAlignment="1">
      <alignment horizontal="right"/>
    </xf>
    <xf numFmtId="171" fontId="33" fillId="2" borderId="0" xfId="3" applyNumberFormat="1" applyFont="1" applyFill="1" applyAlignment="1">
      <alignment horizontal="right"/>
    </xf>
    <xf numFmtId="171" fontId="2" fillId="12" borderId="3" xfId="3" applyNumberFormat="1" applyFill="1" applyBorder="1"/>
    <xf numFmtId="171" fontId="4" fillId="0" borderId="3" xfId="3" applyNumberFormat="1" applyFont="1" applyBorder="1"/>
    <xf numFmtId="171" fontId="19" fillId="0" borderId="3" xfId="3" applyNumberFormat="1" applyFont="1" applyBorder="1"/>
    <xf numFmtId="0" fontId="6" fillId="0" borderId="0" xfId="5"/>
    <xf numFmtId="0" fontId="34" fillId="0" borderId="0" xfId="0" applyFont="1"/>
    <xf numFmtId="0" fontId="35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 wrapText="1"/>
    </xf>
    <xf numFmtId="166" fontId="3" fillId="2" borderId="8" xfId="0" applyNumberFormat="1" applyFont="1" applyFill="1" applyBorder="1" applyAlignment="1">
      <alignment horizontal="center" vertical="center" wrapText="1"/>
    </xf>
    <xf numFmtId="0" fontId="4" fillId="0" borderId="0" xfId="6" applyNumberFormat="1" applyFont="1" applyFill="1" applyBorder="1"/>
    <xf numFmtId="0" fontId="0" fillId="0" borderId="0" xfId="6" applyNumberFormat="1" applyFont="1" applyFill="1" applyBorder="1"/>
    <xf numFmtId="174" fontId="26" fillId="0" borderId="0" xfId="0" applyNumberFormat="1" applyFont="1" applyAlignment="1">
      <alignment horizontal="left" vertical="center" wrapText="1"/>
    </xf>
    <xf numFmtId="2" fontId="0" fillId="0" borderId="0" xfId="6" applyNumberFormat="1" applyFont="1" applyFill="1" applyBorder="1"/>
    <xf numFmtId="174" fontId="0" fillId="0" borderId="0" xfId="6" applyNumberFormat="1" applyFont="1" applyFill="1" applyBorder="1"/>
    <xf numFmtId="0" fontId="4" fillId="4" borderId="0" xfId="6" applyNumberFormat="1" applyFont="1" applyFill="1" applyBorder="1"/>
    <xf numFmtId="175" fontId="0" fillId="0" borderId="0" xfId="0" applyNumberFormat="1"/>
    <xf numFmtId="0" fontId="3" fillId="2" borderId="13" xfId="0" applyFont="1" applyFill="1" applyBorder="1"/>
    <xf numFmtId="0" fontId="2" fillId="0" borderId="0" xfId="6" applyNumberFormat="1" applyFont="1" applyFill="1" applyBorder="1"/>
    <xf numFmtId="3" fontId="0" fillId="0" borderId="0" xfId="0" applyNumberFormat="1"/>
    <xf numFmtId="3" fontId="4" fillId="4" borderId="0" xfId="6" applyNumberFormat="1" applyFont="1" applyFill="1" applyBorder="1"/>
    <xf numFmtId="0" fontId="0" fillId="13" borderId="0" xfId="0" applyFill="1"/>
    <xf numFmtId="0" fontId="4" fillId="13" borderId="5" xfId="0" applyFont="1" applyFill="1" applyBorder="1"/>
    <xf numFmtId="0" fontId="15" fillId="13" borderId="3" xfId="0" applyFont="1" applyFill="1" applyBorder="1"/>
    <xf numFmtId="0" fontId="0" fillId="13" borderId="0" xfId="0" applyFill="1" applyAlignment="1">
      <alignment wrapText="1"/>
    </xf>
    <xf numFmtId="0" fontId="4" fillId="13" borderId="4" xfId="0" applyFont="1" applyFill="1" applyBorder="1"/>
    <xf numFmtId="0" fontId="4" fillId="13" borderId="0" xfId="0" applyFont="1" applyFill="1"/>
    <xf numFmtId="0" fontId="23" fillId="13" borderId="0" xfId="0" applyFont="1" applyFill="1"/>
    <xf numFmtId="171" fontId="0" fillId="14" borderId="0" xfId="0" applyNumberFormat="1" applyFill="1"/>
    <xf numFmtId="171" fontId="4" fillId="14" borderId="5" xfId="0" applyNumberFormat="1" applyFont="1" applyFill="1" applyBorder="1"/>
    <xf numFmtId="171" fontId="4" fillId="14" borderId="3" xfId="0" applyNumberFormat="1" applyFont="1" applyFill="1" applyBorder="1"/>
    <xf numFmtId="171" fontId="4" fillId="14" borderId="4" xfId="0" applyNumberFormat="1" applyFont="1" applyFill="1" applyBorder="1"/>
    <xf numFmtId="168" fontId="0" fillId="14" borderId="0" xfId="0" applyNumberFormat="1" applyFill="1"/>
    <xf numFmtId="0" fontId="14" fillId="6" borderId="0" xfId="0" applyFont="1" applyFill="1"/>
    <xf numFmtId="0" fontId="5" fillId="6" borderId="0" xfId="0" applyFont="1" applyFill="1"/>
    <xf numFmtId="0" fontId="4" fillId="6" borderId="3" xfId="0" applyFont="1" applyFill="1" applyBorder="1"/>
    <xf numFmtId="0" fontId="0" fillId="6" borderId="0" xfId="0" applyFill="1"/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wrapText="1"/>
    </xf>
    <xf numFmtId="0" fontId="4" fillId="6" borderId="0" xfId="0" applyFont="1" applyFill="1"/>
    <xf numFmtId="0" fontId="4" fillId="6" borderId="7" xfId="0" applyFont="1" applyFill="1" applyBorder="1"/>
    <xf numFmtId="0" fontId="23" fillId="6" borderId="0" xfId="0" applyFont="1" applyFill="1"/>
    <xf numFmtId="0" fontId="0" fillId="6" borderId="7" xfId="0" applyFill="1" applyBorder="1"/>
    <xf numFmtId="0" fontId="14" fillId="6" borderId="17" xfId="0" applyFont="1" applyFill="1" applyBorder="1"/>
    <xf numFmtId="171" fontId="0" fillId="4" borderId="5" xfId="0" applyNumberFormat="1" applyFill="1" applyBorder="1"/>
    <xf numFmtId="171" fontId="0" fillId="5" borderId="5" xfId="0" applyNumberFormat="1" applyFill="1" applyBorder="1"/>
    <xf numFmtId="171" fontId="0" fillId="5" borderId="12" xfId="0" applyNumberFormat="1" applyFill="1" applyBorder="1"/>
    <xf numFmtId="0" fontId="5" fillId="6" borderId="15" xfId="0" applyFont="1" applyFill="1" applyBorder="1"/>
    <xf numFmtId="171" fontId="0" fillId="5" borderId="8" xfId="0" applyNumberFormat="1" applyFill="1" applyBorder="1"/>
    <xf numFmtId="0" fontId="8" fillId="6" borderId="17" xfId="0" applyFont="1" applyFill="1" applyBorder="1"/>
    <xf numFmtId="171" fontId="4" fillId="5" borderId="12" xfId="0" applyNumberFormat="1" applyFont="1" applyFill="1" applyBorder="1"/>
    <xf numFmtId="0" fontId="5" fillId="6" borderId="15" xfId="0" applyFont="1" applyFill="1" applyBorder="1" applyAlignment="1">
      <alignment wrapText="1"/>
    </xf>
    <xf numFmtId="0" fontId="24" fillId="6" borderId="15" xfId="0" applyFont="1" applyFill="1" applyBorder="1" applyAlignment="1">
      <alignment wrapText="1"/>
    </xf>
    <xf numFmtId="0" fontId="5" fillId="6" borderId="15" xfId="0" applyFont="1" applyFill="1" applyBorder="1" applyAlignment="1">
      <alignment horizontal="left" vertical="center"/>
    </xf>
    <xf numFmtId="0" fontId="4" fillId="6" borderId="14" xfId="0" applyFont="1" applyFill="1" applyBorder="1"/>
    <xf numFmtId="171" fontId="4" fillId="5" borderId="9" xfId="0" applyNumberFormat="1" applyFont="1" applyFill="1" applyBorder="1"/>
    <xf numFmtId="0" fontId="4" fillId="6" borderId="15" xfId="0" applyFont="1" applyFill="1" applyBorder="1"/>
    <xf numFmtId="0" fontId="14" fillId="6" borderId="15" xfId="0" applyFont="1" applyFill="1" applyBorder="1"/>
    <xf numFmtId="171" fontId="0" fillId="4" borderId="0" xfId="6" applyNumberFormat="1" applyFont="1" applyFill="1" applyBorder="1"/>
    <xf numFmtId="0" fontId="8" fillId="6" borderId="15" xfId="0" applyFont="1" applyFill="1" applyBorder="1"/>
    <xf numFmtId="171" fontId="4" fillId="5" borderId="8" xfId="0" applyNumberFormat="1" applyFont="1" applyFill="1" applyBorder="1"/>
    <xf numFmtId="0" fontId="8" fillId="6" borderId="15" xfId="0" applyFont="1" applyFill="1" applyBorder="1" applyAlignment="1">
      <alignment horizontal="left" vertical="center"/>
    </xf>
    <xf numFmtId="0" fontId="0" fillId="6" borderId="15" xfId="0" applyFill="1" applyBorder="1"/>
    <xf numFmtId="0" fontId="22" fillId="6" borderId="15" xfId="0" applyFont="1" applyFill="1" applyBorder="1"/>
    <xf numFmtId="171" fontId="4" fillId="5" borderId="11" xfId="0" applyNumberFormat="1" applyFont="1" applyFill="1" applyBorder="1"/>
    <xf numFmtId="0" fontId="0" fillId="0" borderId="8" xfId="0" applyBorder="1"/>
    <xf numFmtId="0" fontId="15" fillId="6" borderId="16" xfId="0" applyFont="1" applyFill="1" applyBorder="1" applyAlignment="1">
      <alignment horizontal="centerContinuous" vertical="center"/>
    </xf>
    <xf numFmtId="0" fontId="4" fillId="0" borderId="6" xfId="0" applyFont="1" applyBorder="1"/>
    <xf numFmtId="1" fontId="4" fillId="0" borderId="6" xfId="0" applyNumberFormat="1" applyFont="1" applyBorder="1"/>
    <xf numFmtId="1" fontId="4" fillId="0" borderId="11" xfId="0" applyNumberFormat="1" applyFont="1" applyBorder="1"/>
    <xf numFmtId="10" fontId="36" fillId="0" borderId="0" xfId="3" applyNumberFormat="1" applyFont="1"/>
    <xf numFmtId="172" fontId="36" fillId="5" borderId="0" xfId="9" applyNumberFormat="1" applyFont="1" applyFill="1" applyBorder="1" applyAlignment="1">
      <alignment horizontal="right"/>
    </xf>
    <xf numFmtId="171" fontId="0" fillId="5" borderId="17" xfId="0" applyNumberFormat="1" applyFill="1" applyBorder="1"/>
    <xf numFmtId="171" fontId="0" fillId="5" borderId="15" xfId="0" applyNumberFormat="1" applyFill="1" applyBorder="1"/>
    <xf numFmtId="171" fontId="4" fillId="5" borderId="14" xfId="0" applyNumberFormat="1" applyFont="1" applyFill="1" applyBorder="1"/>
    <xf numFmtId="171" fontId="4" fillId="5" borderId="15" xfId="0" applyNumberFormat="1" applyFont="1" applyFill="1" applyBorder="1"/>
    <xf numFmtId="171" fontId="5" fillId="5" borderId="15" xfId="0" applyNumberFormat="1" applyFont="1" applyFill="1" applyBorder="1"/>
    <xf numFmtId="171" fontId="5" fillId="5" borderId="0" xfId="0" applyNumberFormat="1" applyFont="1" applyFill="1"/>
    <xf numFmtId="171" fontId="5" fillId="5" borderId="8" xfId="0" applyNumberFormat="1" applyFont="1" applyFill="1" applyBorder="1"/>
    <xf numFmtId="171" fontId="0" fillId="4" borderId="17" xfId="0" applyNumberFormat="1" applyFill="1" applyBorder="1"/>
    <xf numFmtId="171" fontId="0" fillId="4" borderId="12" xfId="0" applyNumberFormat="1" applyFill="1" applyBorder="1"/>
    <xf numFmtId="171" fontId="0" fillId="4" borderId="15" xfId="0" applyNumberFormat="1" applyFill="1" applyBorder="1"/>
    <xf numFmtId="171" fontId="2" fillId="4" borderId="0" xfId="3" applyNumberFormat="1" applyFill="1"/>
    <xf numFmtId="171" fontId="4" fillId="4" borderId="14" xfId="0" applyNumberFormat="1" applyFont="1" applyFill="1" applyBorder="1"/>
    <xf numFmtId="171" fontId="4" fillId="4" borderId="15" xfId="0" applyNumberFormat="1" applyFont="1" applyFill="1" applyBorder="1"/>
    <xf numFmtId="171" fontId="4" fillId="4" borderId="19" xfId="0" applyNumberFormat="1" applyFont="1" applyFill="1" applyBorder="1"/>
    <xf numFmtId="171" fontId="5" fillId="4" borderId="15" xfId="0" applyNumberFormat="1" applyFont="1" applyFill="1" applyBorder="1"/>
    <xf numFmtId="171" fontId="5" fillId="4" borderId="0" xfId="0" applyNumberFormat="1" applyFont="1" applyFill="1"/>
    <xf numFmtId="171" fontId="4" fillId="4" borderId="20" xfId="0" applyNumberFormat="1" applyFont="1" applyFill="1" applyBorder="1"/>
    <xf numFmtId="171" fontId="4" fillId="4" borderId="21" xfId="0" applyNumberFormat="1" applyFont="1" applyFill="1" applyBorder="1"/>
    <xf numFmtId="171" fontId="0" fillId="15" borderId="0" xfId="0" applyNumberFormat="1" applyFill="1"/>
    <xf numFmtId="171" fontId="4" fillId="15" borderId="5" xfId="0" applyNumberFormat="1" applyFont="1" applyFill="1" applyBorder="1"/>
    <xf numFmtId="171" fontId="4" fillId="15" borderId="3" xfId="0" applyNumberFormat="1" applyFont="1" applyFill="1" applyBorder="1"/>
    <xf numFmtId="171" fontId="4" fillId="15" borderId="4" xfId="0" applyNumberFormat="1" applyFont="1" applyFill="1" applyBorder="1"/>
    <xf numFmtId="171" fontId="4" fillId="15" borderId="0" xfId="0" applyNumberFormat="1" applyFont="1" applyFill="1"/>
    <xf numFmtId="168" fontId="0" fillId="15" borderId="0" xfId="0" applyNumberFormat="1" applyFill="1"/>
    <xf numFmtId="9" fontId="0" fillId="15" borderId="0" xfId="6" applyFont="1" applyFill="1"/>
    <xf numFmtId="171" fontId="0" fillId="15" borderId="17" xfId="0" applyNumberFormat="1" applyFill="1" applyBorder="1"/>
    <xf numFmtId="171" fontId="0" fillId="15" borderId="5" xfId="0" applyNumberFormat="1" applyFill="1" applyBorder="1"/>
    <xf numFmtId="171" fontId="0" fillId="15" borderId="12" xfId="0" applyNumberFormat="1" applyFill="1" applyBorder="1"/>
    <xf numFmtId="171" fontId="0" fillId="15" borderId="15" xfId="0" applyNumberFormat="1" applyFill="1" applyBorder="1"/>
    <xf numFmtId="171" fontId="0" fillId="15" borderId="8" xfId="0" applyNumberFormat="1" applyFill="1" applyBorder="1"/>
    <xf numFmtId="171" fontId="4" fillId="15" borderId="14" xfId="0" applyNumberFormat="1" applyFont="1" applyFill="1" applyBorder="1"/>
    <xf numFmtId="171" fontId="4" fillId="15" borderId="9" xfId="0" applyNumberFormat="1" applyFont="1" applyFill="1" applyBorder="1"/>
    <xf numFmtId="171" fontId="4" fillId="15" borderId="15" xfId="0" applyNumberFormat="1" applyFont="1" applyFill="1" applyBorder="1"/>
    <xf numFmtId="171" fontId="4" fillId="15" borderId="8" xfId="0" applyNumberFormat="1" applyFont="1" applyFill="1" applyBorder="1"/>
    <xf numFmtId="171" fontId="4" fillId="15" borderId="19" xfId="0" applyNumberFormat="1" applyFont="1" applyFill="1" applyBorder="1"/>
    <xf numFmtId="171" fontId="4" fillId="15" borderId="7" xfId="0" applyNumberFormat="1" applyFont="1" applyFill="1" applyBorder="1"/>
    <xf numFmtId="171" fontId="4" fillId="15" borderId="10" xfId="0" applyNumberFormat="1" applyFont="1" applyFill="1" applyBorder="1"/>
    <xf numFmtId="171" fontId="5" fillId="15" borderId="15" xfId="0" applyNumberFormat="1" applyFont="1" applyFill="1" applyBorder="1"/>
    <xf numFmtId="171" fontId="5" fillId="15" borderId="0" xfId="0" applyNumberFormat="1" applyFont="1" applyFill="1"/>
    <xf numFmtId="171" fontId="5" fillId="15" borderId="8" xfId="0" applyNumberFormat="1" applyFont="1" applyFill="1" applyBorder="1"/>
    <xf numFmtId="171" fontId="4" fillId="15" borderId="20" xfId="0" applyNumberFormat="1" applyFont="1" applyFill="1" applyBorder="1"/>
    <xf numFmtId="171" fontId="4" fillId="15" borderId="21" xfId="0" applyNumberFormat="1" applyFont="1" applyFill="1" applyBorder="1"/>
    <xf numFmtId="171" fontId="4" fillId="15" borderId="22" xfId="0" applyNumberFormat="1" applyFont="1" applyFill="1" applyBorder="1"/>
    <xf numFmtId="171" fontId="32" fillId="10" borderId="15" xfId="0" applyNumberFormat="1" applyFont="1" applyFill="1" applyBorder="1"/>
    <xf numFmtId="171" fontId="32" fillId="10" borderId="0" xfId="0" applyNumberFormat="1" applyFont="1" applyFill="1"/>
    <xf numFmtId="171" fontId="32" fillId="10" borderId="8" xfId="0" applyNumberFormat="1" applyFont="1" applyFill="1" applyBorder="1"/>
    <xf numFmtId="171" fontId="4" fillId="4" borderId="17" xfId="0" applyNumberFormat="1" applyFont="1" applyFill="1" applyBorder="1"/>
    <xf numFmtId="171" fontId="0" fillId="4" borderId="15" xfId="6" applyNumberFormat="1" applyFont="1" applyFill="1" applyBorder="1"/>
    <xf numFmtId="171" fontId="4" fillId="4" borderId="16" xfId="0" applyNumberFormat="1" applyFont="1" applyFill="1" applyBorder="1"/>
    <xf numFmtId="171" fontId="4" fillId="4" borderId="11" xfId="0" applyNumberFormat="1" applyFont="1" applyFill="1" applyBorder="1"/>
    <xf numFmtId="0" fontId="0" fillId="0" borderId="15" xfId="0" applyBorder="1"/>
    <xf numFmtId="0" fontId="4" fillId="0" borderId="16" xfId="0" applyFont="1" applyBorder="1"/>
    <xf numFmtId="0" fontId="4" fillId="0" borderId="11" xfId="0" applyFont="1" applyBorder="1"/>
    <xf numFmtId="171" fontId="4" fillId="5" borderId="17" xfId="0" applyNumberFormat="1" applyFont="1" applyFill="1" applyBorder="1"/>
    <xf numFmtId="171" fontId="4" fillId="5" borderId="16" xfId="0" applyNumberFormat="1" applyFont="1" applyFill="1" applyBorder="1"/>
    <xf numFmtId="1" fontId="4" fillId="0" borderId="16" xfId="0" applyNumberFormat="1" applyFont="1" applyBorder="1"/>
    <xf numFmtId="0" fontId="3" fillId="2" borderId="18" xfId="0" applyFont="1" applyFill="1" applyBorder="1"/>
    <xf numFmtId="0" fontId="14" fillId="0" borderId="23" xfId="0" applyFont="1" applyBorder="1"/>
    <xf numFmtId="0" fontId="20" fillId="0" borderId="23" xfId="0" applyFont="1" applyBorder="1"/>
    <xf numFmtId="0" fontId="18" fillId="0" borderId="23" xfId="0" applyFont="1" applyBorder="1"/>
    <xf numFmtId="0" fontId="0" fillId="0" borderId="23" xfId="0" applyBorder="1"/>
    <xf numFmtId="0" fontId="5" fillId="0" borderId="23" xfId="0" applyFont="1" applyBorder="1"/>
    <xf numFmtId="164" fontId="0" fillId="0" borderId="23" xfId="1" applyFont="1" applyBorder="1"/>
    <xf numFmtId="164" fontId="2" fillId="0" borderId="23" xfId="1" applyFont="1" applyBorder="1"/>
    <xf numFmtId="170" fontId="18" fillId="0" borderId="23" xfId="1" applyNumberFormat="1" applyFont="1" applyFill="1" applyBorder="1"/>
    <xf numFmtId="170" fontId="2" fillId="0" borderId="23" xfId="1" applyNumberFormat="1" applyFont="1" applyFill="1" applyBorder="1"/>
    <xf numFmtId="0" fontId="0" fillId="0" borderId="23" xfId="0" applyBorder="1" applyAlignment="1">
      <alignment wrapText="1"/>
    </xf>
    <xf numFmtId="0" fontId="5" fillId="0" borderId="24" xfId="0" applyFont="1" applyBorder="1"/>
    <xf numFmtId="166" fontId="3" fillId="2" borderId="14" xfId="0" applyNumberFormat="1" applyFont="1" applyFill="1" applyBorder="1"/>
    <xf numFmtId="168" fontId="0" fillId="4" borderId="15" xfId="0" applyNumberFormat="1" applyFill="1" applyBorder="1"/>
    <xf numFmtId="168" fontId="5" fillId="4" borderId="15" xfId="0" applyNumberFormat="1" applyFont="1" applyFill="1" applyBorder="1"/>
    <xf numFmtId="168" fontId="5" fillId="4" borderId="0" xfId="0" applyNumberFormat="1" applyFont="1" applyFill="1"/>
    <xf numFmtId="169" fontId="5" fillId="4" borderId="15" xfId="6" applyNumberFormat="1" applyFont="1" applyFill="1" applyBorder="1"/>
    <xf numFmtId="169" fontId="5" fillId="4" borderId="16" xfId="6" applyNumberFormat="1" applyFont="1" applyFill="1" applyBorder="1"/>
    <xf numFmtId="169" fontId="5" fillId="4" borderId="6" xfId="6" applyNumberFormat="1" applyFont="1" applyFill="1" applyBorder="1"/>
    <xf numFmtId="169" fontId="5" fillId="4" borderId="11" xfId="6" applyNumberFormat="1" applyFont="1" applyFill="1" applyBorder="1"/>
    <xf numFmtId="168" fontId="0" fillId="5" borderId="17" xfId="0" applyNumberFormat="1" applyFill="1" applyBorder="1"/>
    <xf numFmtId="168" fontId="0" fillId="5" borderId="5" xfId="0" applyNumberFormat="1" applyFill="1" applyBorder="1"/>
    <xf numFmtId="168" fontId="0" fillId="5" borderId="12" xfId="0" applyNumberFormat="1" applyFill="1" applyBorder="1"/>
    <xf numFmtId="168" fontId="0" fillId="5" borderId="15" xfId="0" applyNumberFormat="1" applyFill="1" applyBorder="1"/>
    <xf numFmtId="168" fontId="0" fillId="5" borderId="8" xfId="0" applyNumberFormat="1" applyFill="1" applyBorder="1"/>
    <xf numFmtId="10" fontId="2" fillId="9" borderId="15" xfId="6" applyNumberFormat="1" applyFont="1" applyFill="1" applyBorder="1"/>
    <xf numFmtId="10" fontId="2" fillId="9" borderId="8" xfId="6" applyNumberFormat="1" applyFont="1" applyFill="1" applyBorder="1"/>
    <xf numFmtId="10" fontId="5" fillId="5" borderId="15" xfId="6" applyNumberFormat="1" applyFont="1" applyFill="1" applyBorder="1"/>
    <xf numFmtId="10" fontId="5" fillId="5" borderId="8" xfId="6" applyNumberFormat="1" applyFont="1" applyFill="1" applyBorder="1"/>
    <xf numFmtId="168" fontId="5" fillId="5" borderId="15" xfId="0" applyNumberFormat="1" applyFont="1" applyFill="1" applyBorder="1"/>
    <xf numFmtId="168" fontId="5" fillId="5" borderId="0" xfId="0" applyNumberFormat="1" applyFont="1" applyFill="1"/>
    <xf numFmtId="168" fontId="5" fillId="5" borderId="8" xfId="0" applyNumberFormat="1" applyFont="1" applyFill="1" applyBorder="1"/>
    <xf numFmtId="169" fontId="5" fillId="9" borderId="15" xfId="6" applyNumberFormat="1" applyFont="1" applyFill="1" applyBorder="1"/>
    <xf numFmtId="169" fontId="5" fillId="9" borderId="0" xfId="6" applyNumberFormat="1" applyFont="1" applyFill="1" applyBorder="1"/>
    <xf numFmtId="169" fontId="5" fillId="9" borderId="8" xfId="6" applyNumberFormat="1" applyFont="1" applyFill="1" applyBorder="1"/>
    <xf numFmtId="169" fontId="5" fillId="5" borderId="15" xfId="6" applyNumberFormat="1" applyFont="1" applyFill="1" applyBorder="1"/>
    <xf numFmtId="169" fontId="5" fillId="5" borderId="0" xfId="6" applyNumberFormat="1" applyFont="1" applyFill="1" applyBorder="1"/>
    <xf numFmtId="169" fontId="5" fillId="5" borderId="8" xfId="6" applyNumberFormat="1" applyFont="1" applyFill="1" applyBorder="1"/>
    <xf numFmtId="171" fontId="5" fillId="5" borderId="15" xfId="6" applyNumberFormat="1" applyFont="1" applyFill="1" applyBorder="1"/>
    <xf numFmtId="171" fontId="5" fillId="5" borderId="0" xfId="6" applyNumberFormat="1" applyFont="1" applyFill="1" applyBorder="1"/>
    <xf numFmtId="171" fontId="5" fillId="5" borderId="8" xfId="6" applyNumberFormat="1" applyFont="1" applyFill="1" applyBorder="1"/>
    <xf numFmtId="171" fontId="5" fillId="5" borderId="15" xfId="1" applyNumberFormat="1" applyFont="1" applyFill="1" applyBorder="1"/>
    <xf numFmtId="171" fontId="5" fillId="5" borderId="0" xfId="1" applyNumberFormat="1" applyFont="1" applyFill="1" applyBorder="1"/>
    <xf numFmtId="171" fontId="5" fillId="5" borderId="8" xfId="1" applyNumberFormat="1" applyFont="1" applyFill="1" applyBorder="1"/>
    <xf numFmtId="169" fontId="19" fillId="5" borderId="16" xfId="6" applyNumberFormat="1" applyFont="1" applyFill="1" applyBorder="1"/>
    <xf numFmtId="169" fontId="19" fillId="5" borderId="6" xfId="6" applyNumberFormat="1" applyFont="1" applyFill="1" applyBorder="1"/>
    <xf numFmtId="169" fontId="19" fillId="5" borderId="11" xfId="6" applyNumberFormat="1" applyFont="1" applyFill="1" applyBorder="1"/>
    <xf numFmtId="174" fontId="26" fillId="16" borderId="0" xfId="0" applyNumberFormat="1" applyFont="1" applyFill="1" applyAlignment="1">
      <alignment horizontal="left" vertical="center" wrapText="1"/>
    </xf>
    <xf numFmtId="2" fontId="0" fillId="16" borderId="0" xfId="6" applyNumberFormat="1" applyFont="1" applyFill="1" applyBorder="1"/>
    <xf numFmtId="174" fontId="0" fillId="16" borderId="0" xfId="6" applyNumberFormat="1" applyFont="1" applyFill="1" applyBorder="1"/>
    <xf numFmtId="0" fontId="0" fillId="16" borderId="0" xfId="6" applyNumberFormat="1" applyFont="1" applyFill="1" applyBorder="1"/>
    <xf numFmtId="2" fontId="0" fillId="16" borderId="0" xfId="0" applyNumberFormat="1" applyFill="1"/>
    <xf numFmtId="175" fontId="0" fillId="16" borderId="0" xfId="0" applyNumberFormat="1" applyFill="1"/>
    <xf numFmtId="174" fontId="37" fillId="16" borderId="0" xfId="0" applyNumberFormat="1" applyFont="1" applyFill="1" applyAlignment="1">
      <alignment horizontal="right" vertical="center" wrapText="1"/>
    </xf>
    <xf numFmtId="174" fontId="37" fillId="0" borderId="0" xfId="0" applyNumberFormat="1" applyFont="1" applyAlignment="1">
      <alignment horizontal="right" vertical="center" wrapText="1"/>
    </xf>
    <xf numFmtId="2" fontId="38" fillId="0" borderId="0" xfId="6" applyNumberFormat="1" applyFont="1" applyFill="1" applyBorder="1"/>
    <xf numFmtId="0" fontId="4" fillId="9" borderId="0" xfId="6" applyNumberFormat="1" applyFont="1" applyFill="1" applyBorder="1"/>
    <xf numFmtId="2" fontId="4" fillId="9" borderId="0" xfId="0" applyNumberFormat="1" applyFont="1" applyFill="1"/>
    <xf numFmtId="175" fontId="0" fillId="9" borderId="0" xfId="0" applyNumberFormat="1" applyFill="1"/>
    <xf numFmtId="0" fontId="0" fillId="9" borderId="0" xfId="6" applyNumberFormat="1" applyFont="1" applyFill="1" applyBorder="1"/>
    <xf numFmtId="2" fontId="0" fillId="9" borderId="0" xfId="0" applyNumberFormat="1" applyFill="1"/>
    <xf numFmtId="175" fontId="4" fillId="9" borderId="0" xfId="0" applyNumberFormat="1" applyFont="1" applyFill="1"/>
    <xf numFmtId="0" fontId="4" fillId="9" borderId="0" xfId="0" applyFont="1" applyFill="1"/>
    <xf numFmtId="0" fontId="0" fillId="9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28" xfId="0" applyBorder="1" applyAlignment="1">
      <alignment horizontal="right" vertical="center"/>
    </xf>
    <xf numFmtId="0" fontId="0" fillId="0" borderId="29" xfId="0" applyBorder="1" applyAlignment="1">
      <alignment horizontal="righ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7" xfId="0" applyBorder="1"/>
    <xf numFmtId="0" fontId="0" fillId="0" borderId="12" xfId="0" applyBorder="1"/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16" xfId="0" applyBorder="1"/>
    <xf numFmtId="0" fontId="0" fillId="0" borderId="11" xfId="0" applyBorder="1" applyAlignment="1">
      <alignment horizontal="left"/>
    </xf>
    <xf numFmtId="0" fontId="6" fillId="0" borderId="8" xfId="5" applyBorder="1" applyAlignment="1">
      <alignment horizontal="left" vertical="center"/>
    </xf>
    <xf numFmtId="0" fontId="6" fillId="0" borderId="8" xfId="5" quotePrefix="1" applyFill="1" applyBorder="1"/>
    <xf numFmtId="0" fontId="6" fillId="0" borderId="8" xfId="5" applyFill="1" applyBorder="1"/>
    <xf numFmtId="0" fontId="21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174" fontId="4" fillId="9" borderId="0" xfId="6" applyNumberFormat="1" applyFont="1" applyFill="1" applyBorder="1"/>
    <xf numFmtId="174" fontId="0" fillId="9" borderId="0" xfId="6" applyNumberFormat="1" applyFont="1" applyFill="1" applyBorder="1"/>
    <xf numFmtId="174" fontId="0" fillId="9" borderId="0" xfId="0" applyNumberFormat="1" applyFill="1"/>
    <xf numFmtId="174" fontId="0" fillId="0" borderId="0" xfId="0" applyNumberFormat="1"/>
    <xf numFmtId="0" fontId="39" fillId="17" borderId="0" xfId="0" applyFont="1" applyFill="1"/>
    <xf numFmtId="0" fontId="0" fillId="17" borderId="0" xfId="0" applyFill="1"/>
    <xf numFmtId="0" fontId="4" fillId="6" borderId="17" xfId="0" applyFont="1" applyFill="1" applyBorder="1"/>
    <xf numFmtId="169" fontId="32" fillId="5" borderId="0" xfId="6" applyNumberFormat="1" applyFont="1" applyFill="1" applyBorder="1"/>
    <xf numFmtId="169" fontId="32" fillId="5" borderId="8" xfId="6" applyNumberFormat="1" applyFont="1" applyFill="1" applyBorder="1"/>
    <xf numFmtId="171" fontId="0" fillId="5" borderId="11" xfId="0" applyNumberFormat="1" applyFill="1" applyBorder="1"/>
    <xf numFmtId="0" fontId="4" fillId="0" borderId="15" xfId="0" applyFont="1" applyBorder="1"/>
    <xf numFmtId="9" fontId="38" fillId="5" borderId="0" xfId="6" applyFont="1" applyFill="1" applyBorder="1"/>
    <xf numFmtId="9" fontId="38" fillId="5" borderId="8" xfId="6" applyFont="1" applyFill="1" applyBorder="1"/>
    <xf numFmtId="0" fontId="4" fillId="0" borderId="14" xfId="0" applyFont="1" applyBorder="1"/>
    <xf numFmtId="9" fontId="32" fillId="5" borderId="0" xfId="6" applyFont="1" applyFill="1" applyBorder="1"/>
    <xf numFmtId="9" fontId="32" fillId="5" borderId="8" xfId="6" applyFont="1" applyFill="1" applyBorder="1"/>
    <xf numFmtId="0" fontId="4" fillId="0" borderId="17" xfId="0" applyFont="1" applyBorder="1"/>
    <xf numFmtId="9" fontId="36" fillId="5" borderId="0" xfId="6" applyFont="1" applyFill="1" applyBorder="1"/>
    <xf numFmtId="9" fontId="36" fillId="5" borderId="8" xfId="6" applyFont="1" applyFill="1" applyBorder="1"/>
    <xf numFmtId="9" fontId="32" fillId="5" borderId="0" xfId="6" applyFont="1" applyFill="1" applyBorder="1" applyAlignment="1">
      <alignment horizontal="right"/>
    </xf>
    <xf numFmtId="9" fontId="32" fillId="5" borderId="8" xfId="6" applyFont="1" applyFill="1" applyBorder="1" applyAlignment="1">
      <alignment horizontal="right"/>
    </xf>
    <xf numFmtId="9" fontId="30" fillId="5" borderId="8" xfId="6" applyFont="1" applyFill="1" applyBorder="1"/>
    <xf numFmtId="164" fontId="2" fillId="6" borderId="17" xfId="4" applyFont="1" applyFill="1" applyBorder="1"/>
    <xf numFmtId="9" fontId="0" fillId="5" borderId="0" xfId="6" applyFont="1" applyFill="1" applyBorder="1"/>
    <xf numFmtId="9" fontId="0" fillId="5" borderId="8" xfId="6" applyFont="1" applyFill="1" applyBorder="1"/>
    <xf numFmtId="0" fontId="0" fillId="6" borderId="17" xfId="0" applyFill="1" applyBorder="1"/>
    <xf numFmtId="0" fontId="0" fillId="0" borderId="25" xfId="0" applyBorder="1"/>
    <xf numFmtId="171" fontId="0" fillId="4" borderId="26" xfId="0" applyNumberFormat="1" applyFill="1" applyBorder="1"/>
    <xf numFmtId="171" fontId="0" fillId="4" borderId="32" xfId="0" applyNumberFormat="1" applyFill="1" applyBorder="1"/>
    <xf numFmtId="171" fontId="0" fillId="5" borderId="26" xfId="0" applyNumberFormat="1" applyFill="1" applyBorder="1"/>
    <xf numFmtId="171" fontId="0" fillId="5" borderId="27" xfId="0" applyNumberFormat="1" applyFill="1" applyBorder="1"/>
    <xf numFmtId="0" fontId="0" fillId="0" borderId="28" xfId="0" applyBorder="1"/>
    <xf numFmtId="171" fontId="0" fillId="5" borderId="33" xfId="0" applyNumberFormat="1" applyFill="1" applyBorder="1"/>
    <xf numFmtId="0" fontId="4" fillId="0" borderId="34" xfId="0" applyFont="1" applyBorder="1"/>
    <xf numFmtId="171" fontId="4" fillId="4" borderId="4" xfId="0" applyNumberFormat="1" applyFont="1" applyFill="1" applyBorder="1"/>
    <xf numFmtId="171" fontId="4" fillId="4" borderId="35" xfId="0" applyNumberFormat="1" applyFont="1" applyFill="1" applyBorder="1"/>
    <xf numFmtId="171" fontId="4" fillId="5" borderId="4" xfId="0" applyNumberFormat="1" applyFont="1" applyFill="1" applyBorder="1"/>
    <xf numFmtId="171" fontId="4" fillId="5" borderId="36" xfId="0" applyNumberFormat="1" applyFont="1" applyFill="1" applyBorder="1"/>
    <xf numFmtId="0" fontId="0" fillId="0" borderId="28" xfId="0" applyFill="1" applyBorder="1" applyAlignment="1">
      <alignment horizontal="right" vertical="center"/>
    </xf>
    <xf numFmtId="9" fontId="36" fillId="14" borderId="0" xfId="6" applyFont="1" applyFill="1"/>
    <xf numFmtId="171" fontId="0" fillId="15" borderId="0" xfId="0" applyNumberFormat="1" applyFont="1" applyFill="1"/>
    <xf numFmtId="0" fontId="36" fillId="0" borderId="0" xfId="3" applyFont="1"/>
    <xf numFmtId="0" fontId="34" fillId="0" borderId="0" xfId="3" applyFont="1" applyAlignment="1">
      <alignment horizontal="center"/>
    </xf>
    <xf numFmtId="0" fontId="3" fillId="2" borderId="0" xfId="3" applyFont="1" applyFill="1" applyAlignment="1">
      <alignment horizontal="center"/>
    </xf>
    <xf numFmtId="166" fontId="3" fillId="2" borderId="0" xfId="3" applyNumberFormat="1" applyFont="1" applyFill="1" applyAlignment="1">
      <alignment horizontal="center"/>
    </xf>
    <xf numFmtId="166" fontId="3" fillId="2" borderId="8" xfId="3" applyNumberFormat="1" applyFont="1" applyFill="1" applyBorder="1" applyAlignment="1">
      <alignment horizontal="center"/>
    </xf>
    <xf numFmtId="166" fontId="3" fillId="2" borderId="0" xfId="3" applyNumberFormat="1" applyFont="1" applyFill="1" applyAlignment="1">
      <alignment horizontal="center" vertical="center" textRotation="90"/>
    </xf>
    <xf numFmtId="0" fontId="3" fillId="2" borderId="13" xfId="0" applyFont="1" applyFill="1" applyBorder="1" applyAlignment="1">
      <alignment horizontal="center"/>
    </xf>
  </cellXfs>
  <cellStyles count="11">
    <cellStyle name="Comma" xfId="1" builtinId="3"/>
    <cellStyle name="Comma 2" xfId="4" xr:uid="{3E46F6C7-889A-40E7-A14F-DE9E388D7EE1}"/>
    <cellStyle name="Comma 3" xfId="8" xr:uid="{ED91F52E-D80B-4FBA-AA37-B10F94C32D50}"/>
    <cellStyle name="Comma 4" xfId="9" xr:uid="{B43D077D-A36F-4EE2-BF6D-C22C905CE96F}"/>
    <cellStyle name="Comma 5" xfId="10" xr:uid="{F3993858-1351-4D7B-AC3F-90AB2BEF82C4}"/>
    <cellStyle name="Hyperlink" xfId="5" builtinId="8"/>
    <cellStyle name="Normal" xfId="0" builtinId="0"/>
    <cellStyle name="Normal 2" xfId="3" xr:uid="{C0F5D960-0C4D-40C5-ADF4-5EB990B4B757}"/>
    <cellStyle name="Normal 3" xfId="7" xr:uid="{93677AA4-D4CC-4877-88B1-095292197009}"/>
    <cellStyle name="Per cent" xfId="2" builtinId="5"/>
    <cellStyle name="Percent 2" xfId="6" xr:uid="{C7C4543C-9ADB-415B-A68F-17413313A818}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 /><Relationship Id="rId2" Type="http://schemas.openxmlformats.org/officeDocument/2006/relationships/hyperlink" Target="https://www.asiapacificsecuritymagazine.com/indias-larsen-toubro-defence-wins-infor-customer-excellence-awards-2020/" TargetMode="External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419100</xdr:colOff>
      <xdr:row>0</xdr:row>
      <xdr:rowOff>0</xdr:rowOff>
    </xdr:from>
    <xdr:to>
      <xdr:col>16</xdr:col>
      <xdr:colOff>297180</xdr:colOff>
      <xdr:row>6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8DA19-E91C-4816-A4D8-9C5665CC9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1087100" y="0"/>
          <a:ext cx="3535680" cy="1225550"/>
        </a:xfrm>
        <a:prstGeom prst="rect">
          <a:avLst/>
        </a:prstGeom>
      </xdr:spPr>
    </xdr:pic>
    <xdr:clientData/>
  </xdr:twoCellAnchor>
  <xdr:twoCellAnchor editAs="oneCell">
    <xdr:from>
      <xdr:col>1</xdr:col>
      <xdr:colOff>520701</xdr:colOff>
      <xdr:row>1</xdr:row>
      <xdr:rowOff>177799</xdr:rowOff>
    </xdr:from>
    <xdr:to>
      <xdr:col>1</xdr:col>
      <xdr:colOff>1816102</xdr:colOff>
      <xdr:row>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721122-6ABF-AACE-0F3C-23360A8EB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1" y="361949"/>
          <a:ext cx="1295401" cy="1295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5DC4-0730-48A1-AAAD-30C5DB62A895}">
  <dimension ref="B3:D29"/>
  <sheetViews>
    <sheetView showGridLines="0" topLeftCell="A7" workbookViewId="0">
      <selection activeCell="C14" sqref="C14:C26"/>
    </sheetView>
  </sheetViews>
  <sheetFormatPr defaultRowHeight="15" x14ac:dyDescent="0.2"/>
  <cols>
    <col min="2" max="2" width="26.09765625" bestFit="1" customWidth="1"/>
    <col min="3" max="3" width="24.6171875" bestFit="1" customWidth="1"/>
    <col min="4" max="4" width="31.87890625" bestFit="1" customWidth="1"/>
  </cols>
  <sheetData>
    <row r="3" spans="2:4" x14ac:dyDescent="0.2">
      <c r="C3" s="358"/>
      <c r="D3" s="359"/>
    </row>
    <row r="4" spans="2:4" x14ac:dyDescent="0.2">
      <c r="C4" s="279" t="s">
        <v>333</v>
      </c>
      <c r="D4" s="360" t="s">
        <v>334</v>
      </c>
    </row>
    <row r="5" spans="2:4" x14ac:dyDescent="0.2">
      <c r="C5" s="279" t="s">
        <v>335</v>
      </c>
      <c r="D5" s="360" t="s">
        <v>336</v>
      </c>
    </row>
    <row r="6" spans="2:4" x14ac:dyDescent="0.2">
      <c r="C6" s="279" t="s">
        <v>337</v>
      </c>
      <c r="D6" s="360" t="s">
        <v>338</v>
      </c>
    </row>
    <row r="7" spans="2:4" x14ac:dyDescent="0.2">
      <c r="C7" s="279" t="s">
        <v>339</v>
      </c>
      <c r="D7" s="361" t="s">
        <v>340</v>
      </c>
    </row>
    <row r="8" spans="2:4" x14ac:dyDescent="0.2">
      <c r="C8" s="279"/>
      <c r="D8" s="361" t="s">
        <v>341</v>
      </c>
    </row>
    <row r="9" spans="2:4" x14ac:dyDescent="0.2">
      <c r="C9" s="362"/>
      <c r="D9" s="363"/>
    </row>
    <row r="10" spans="2:4" x14ac:dyDescent="0.2">
      <c r="D10" s="350"/>
    </row>
    <row r="11" spans="2:4" x14ac:dyDescent="0.2">
      <c r="D11" s="350"/>
    </row>
    <row r="12" spans="2:4" ht="15.75" thickBot="1" x14ac:dyDescent="0.25"/>
    <row r="13" spans="2:4" x14ac:dyDescent="0.2">
      <c r="B13" s="351" t="s">
        <v>342</v>
      </c>
      <c r="C13" s="352" t="s">
        <v>343</v>
      </c>
      <c r="D13" s="353" t="s">
        <v>344</v>
      </c>
    </row>
    <row r="14" spans="2:4" x14ac:dyDescent="0.2">
      <c r="B14" s="354">
        <v>1</v>
      </c>
      <c r="C14" s="349" t="s">
        <v>345</v>
      </c>
      <c r="D14" s="364" t="s">
        <v>120</v>
      </c>
    </row>
    <row r="15" spans="2:4" x14ac:dyDescent="0.2">
      <c r="B15" s="354">
        <v>2</v>
      </c>
      <c r="C15" s="349" t="s">
        <v>346</v>
      </c>
      <c r="D15" s="365" t="s">
        <v>347</v>
      </c>
    </row>
    <row r="16" spans="2:4" x14ac:dyDescent="0.2">
      <c r="B16" s="354">
        <v>3</v>
      </c>
      <c r="C16" s="349" t="s">
        <v>204</v>
      </c>
      <c r="D16" s="365" t="s">
        <v>348</v>
      </c>
    </row>
    <row r="17" spans="2:4" x14ac:dyDescent="0.2">
      <c r="B17" s="354">
        <v>4</v>
      </c>
      <c r="C17" s="349" t="s">
        <v>365</v>
      </c>
      <c r="D17" s="365" t="s">
        <v>366</v>
      </c>
    </row>
    <row r="18" spans="2:4" x14ac:dyDescent="0.2">
      <c r="B18" s="354">
        <v>5</v>
      </c>
      <c r="C18" s="349" t="s">
        <v>349</v>
      </c>
      <c r="D18" s="365" t="s">
        <v>350</v>
      </c>
    </row>
    <row r="19" spans="2:4" x14ac:dyDescent="0.2">
      <c r="B19" s="354">
        <v>6</v>
      </c>
      <c r="C19" s="349" t="s">
        <v>33</v>
      </c>
      <c r="D19" s="365" t="s">
        <v>351</v>
      </c>
    </row>
    <row r="20" spans="2:4" x14ac:dyDescent="0.2">
      <c r="B20" s="354">
        <v>7</v>
      </c>
      <c r="C20" s="349" t="s">
        <v>352</v>
      </c>
      <c r="D20" s="365" t="s">
        <v>353</v>
      </c>
    </row>
    <row r="21" spans="2:4" x14ac:dyDescent="0.2">
      <c r="B21" s="354">
        <v>8</v>
      </c>
      <c r="C21" s="349" t="s">
        <v>275</v>
      </c>
      <c r="D21" s="365" t="s">
        <v>354</v>
      </c>
    </row>
    <row r="22" spans="2:4" x14ac:dyDescent="0.2">
      <c r="B22" s="407">
        <v>9</v>
      </c>
      <c r="C22" s="349" t="s">
        <v>355</v>
      </c>
      <c r="D22" s="365" t="s">
        <v>356</v>
      </c>
    </row>
    <row r="23" spans="2:4" x14ac:dyDescent="0.2">
      <c r="B23" s="354">
        <v>10</v>
      </c>
      <c r="C23" s="349" t="s">
        <v>357</v>
      </c>
      <c r="D23" s="365" t="s">
        <v>358</v>
      </c>
    </row>
    <row r="24" spans="2:4" x14ac:dyDescent="0.2">
      <c r="B24" s="354">
        <v>11</v>
      </c>
      <c r="C24" s="349" t="s">
        <v>359</v>
      </c>
      <c r="D24" s="366" t="s">
        <v>360</v>
      </c>
    </row>
    <row r="25" spans="2:4" x14ac:dyDescent="0.2">
      <c r="B25" s="354">
        <v>12</v>
      </c>
      <c r="C25" s="349" t="s">
        <v>361</v>
      </c>
      <c r="D25" s="366" t="s">
        <v>362</v>
      </c>
    </row>
    <row r="26" spans="2:4" x14ac:dyDescent="0.2">
      <c r="B26" s="354">
        <v>13</v>
      </c>
      <c r="C26" s="349" t="s">
        <v>363</v>
      </c>
      <c r="D26" s="366" t="s">
        <v>364</v>
      </c>
    </row>
    <row r="27" spans="2:4" ht="15.75" thickBot="1" x14ac:dyDescent="0.25">
      <c r="B27" s="355"/>
      <c r="C27" s="356"/>
      <c r="D27" s="357"/>
    </row>
    <row r="28" spans="2:4" x14ac:dyDescent="0.2">
      <c r="B28" s="75"/>
    </row>
    <row r="29" spans="2:4" x14ac:dyDescent="0.2">
      <c r="B29" s="75"/>
    </row>
  </sheetData>
  <hyperlinks>
    <hyperlink ref="D14" location="Index!A1" display="Index!A1" xr:uid="{F52A5972-596A-42BE-9241-4734C1B6FBFA}"/>
    <hyperlink ref="D15" location="'p&amp;L drivers'!A1" display="Income Sheet Drivers'!A1" xr:uid="{42C046B0-9EA6-4423-A3BD-12F747318D82}"/>
    <hyperlink ref="D16" location="'bs drivers'!A1" display="Balance Sheet Drivers'!A1" xr:uid="{2A23538C-951D-4DC7-B364-FA3B53169EAD}"/>
    <hyperlink ref="D18" location="'income statement'!A1" display="Income Statement'!A1" xr:uid="{6C04780C-4751-45FB-AB0E-25C76F9EC6DB}"/>
    <hyperlink ref="D19" location="'balance sheet1'!A1" display="Balance Sheet'!A1" xr:uid="{A54689F7-5165-41A1-9706-56F7B56CE3B1}"/>
    <hyperlink ref="D20" location="cashflow1!A1" display="Cashflow Statement'!A1" xr:uid="{5856D506-7891-4CD5-A8B4-2797429B6ED6}"/>
    <hyperlink ref="D21" location="wacc!A1" display="Weigheted Average Cost Of Cap..'!A1" xr:uid="{9DCC92D0-0801-4D13-932C-4DBF90BCA68B}"/>
    <hyperlink ref="D23" location="cca!A1" display="Comperative Analysis'!A1" xr:uid="{82A72B56-026C-4267-82E3-A70DBBB11060}"/>
    <hyperlink ref="D24" location="'p&amp;l'!A1" display="IS!A1" xr:uid="{B6FCCC69-8E09-44BE-9F06-3CF08B863061}"/>
    <hyperlink ref="D25" location="bs!A1" display="BS!A1" xr:uid="{06A76957-4F81-47DF-89FB-3AC169E6E159}"/>
    <hyperlink ref="D26" location="cf!A1" display="CF!A1" xr:uid="{2F17732D-8D98-481D-A393-BA6DF85786A6}"/>
    <hyperlink ref="D22" location="cca!A1" display="Comperative Analysis'!A1" xr:uid="{60F84B0A-63BE-44C3-A81B-B1C42A8D5B2D}"/>
    <hyperlink ref="D17" location="forcast!A1" display="forcast!A1" xr:uid="{9A836264-6CAE-4D83-BD4D-843072B37A5E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BD56-164C-4BC7-84A8-729147A4B7FD}">
  <sheetPr codeName="Sheet1"/>
  <dimension ref="B1:L26"/>
  <sheetViews>
    <sheetView showGridLines="0" topLeftCell="A6" workbookViewId="0">
      <selection activeCell="F26" sqref="F26"/>
    </sheetView>
  </sheetViews>
  <sheetFormatPr defaultRowHeight="15" x14ac:dyDescent="0.2"/>
  <cols>
    <col min="2" max="2" width="48.83203125" bestFit="1" customWidth="1"/>
    <col min="3" max="4" width="9.14453125" bestFit="1" customWidth="1"/>
    <col min="5" max="7" width="9.28125" bestFit="1" customWidth="1"/>
    <col min="8" max="11" width="7.6640625" bestFit="1" customWidth="1"/>
    <col min="12" max="12" width="7.80078125" bestFit="1" customWidth="1"/>
  </cols>
  <sheetData>
    <row r="1" spans="2:12" ht="18.75" x14ac:dyDescent="0.25">
      <c r="B1" s="368" t="s">
        <v>176</v>
      </c>
      <c r="C1" s="367">
        <v>1</v>
      </c>
      <c r="L1" s="33" t="s">
        <v>120</v>
      </c>
    </row>
    <row r="2" spans="2:12" ht="29.25" x14ac:dyDescent="0.4">
      <c r="B2" s="5" t="s">
        <v>177</v>
      </c>
    </row>
    <row r="3" spans="2:12" x14ac:dyDescent="0.2">
      <c r="B3" t="s">
        <v>122</v>
      </c>
    </row>
    <row r="4" spans="2:12" x14ac:dyDescent="0.2">
      <c r="B4" s="285" t="s">
        <v>123</v>
      </c>
      <c r="C4" s="297">
        <v>44389</v>
      </c>
      <c r="D4" s="52">
        <f>C4+365</f>
        <v>44754</v>
      </c>
      <c r="E4" s="52">
        <f>D4+365</f>
        <v>45119</v>
      </c>
      <c r="F4" s="52">
        <f t="shared" ref="F4:L4" si="0">E4+365</f>
        <v>45484</v>
      </c>
      <c r="G4" s="53">
        <f t="shared" si="0"/>
        <v>45849</v>
      </c>
      <c r="H4" s="54">
        <f t="shared" si="0"/>
        <v>46214</v>
      </c>
      <c r="I4" s="54">
        <f t="shared" si="0"/>
        <v>46579</v>
      </c>
      <c r="J4" s="54">
        <f t="shared" si="0"/>
        <v>46944</v>
      </c>
      <c r="K4" s="54">
        <f t="shared" si="0"/>
        <v>47309</v>
      </c>
      <c r="L4" s="54">
        <f t="shared" si="0"/>
        <v>47674</v>
      </c>
    </row>
    <row r="5" spans="2:12" x14ac:dyDescent="0.2">
      <c r="B5" s="286" t="s">
        <v>178</v>
      </c>
      <c r="C5" s="298"/>
      <c r="D5" s="60"/>
      <c r="E5" s="60"/>
      <c r="F5" s="60"/>
      <c r="G5" s="61"/>
      <c r="H5" s="305"/>
      <c r="I5" s="306"/>
      <c r="J5" s="306"/>
      <c r="K5" s="306"/>
      <c r="L5" s="307"/>
    </row>
    <row r="6" spans="2:12" x14ac:dyDescent="0.2">
      <c r="B6" s="287" t="s">
        <v>179</v>
      </c>
      <c r="C6" s="238">
        <f>'p&amp;l'!C5</f>
        <v>135979.03</v>
      </c>
      <c r="D6" s="36">
        <f>'p&amp;l'!D5</f>
        <v>156521.23000000001</v>
      </c>
      <c r="E6" s="36">
        <f>'p&amp;l'!E5</f>
        <v>183340.7</v>
      </c>
      <c r="F6" s="36">
        <f>'p&amp;l'!F5</f>
        <v>221112.91</v>
      </c>
      <c r="G6" s="55">
        <f>'p&amp;l'!G5</f>
        <v>255734.45</v>
      </c>
      <c r="H6" s="308"/>
      <c r="I6" s="62"/>
      <c r="J6" s="62"/>
      <c r="K6" s="62"/>
      <c r="L6" s="309"/>
    </row>
    <row r="7" spans="2:12" x14ac:dyDescent="0.2">
      <c r="B7" s="288" t="s">
        <v>180</v>
      </c>
      <c r="C7" s="298">
        <f>0</f>
        <v>0</v>
      </c>
      <c r="D7" s="30">
        <f>forcast!S12</f>
        <v>0.15106744423771312</v>
      </c>
      <c r="E7" s="30">
        <f>forcast!S13</f>
        <v>0.17135080915659873</v>
      </c>
      <c r="F7" s="30">
        <f>forcast!S14</f>
        <v>0.20602047550738778</v>
      </c>
      <c r="G7" s="31">
        <f>forcast!S15</f>
        <v>0.15657604935033209</v>
      </c>
      <c r="H7" s="310">
        <f>CHOOSE($C$1,H8,H9,H10)</f>
        <v>0.12465367923653249</v>
      </c>
      <c r="I7" s="82">
        <f>CHOOSE($C$1,I8,I9,I10)</f>
        <v>0.1213991201806799</v>
      </c>
      <c r="J7" s="82">
        <f>CHOOSE($C$1,J8,J9,J10)</f>
        <v>0.11357381051718642</v>
      </c>
      <c r="K7" s="82">
        <f>CHOOSE($C$1,K8,K9,K10)</f>
        <v>9.7773553872995148E-2</v>
      </c>
      <c r="L7" s="311">
        <f>CHOOSE($C$1,L8,L9,L10)</f>
        <v>8.8262999836676639E-2</v>
      </c>
    </row>
    <row r="8" spans="2:12" x14ac:dyDescent="0.2">
      <c r="B8" s="289" t="s">
        <v>181</v>
      </c>
      <c r="C8" s="299"/>
      <c r="D8" s="300"/>
      <c r="E8" s="300"/>
      <c r="F8" s="300"/>
      <c r="G8" s="64"/>
      <c r="H8" s="312">
        <f>H9-1%</f>
        <v>0.12465367923653249</v>
      </c>
      <c r="I8" s="312">
        <f>I9-1%</f>
        <v>0.1213991201806799</v>
      </c>
      <c r="J8" s="312">
        <f>J9-1%</f>
        <v>0.11357381051718642</v>
      </c>
      <c r="K8" s="312">
        <f>K9-1%</f>
        <v>9.7773553872995148E-2</v>
      </c>
      <c r="L8" s="312">
        <f>L9-1%</f>
        <v>8.8262999836676639E-2</v>
      </c>
    </row>
    <row r="9" spans="2:12" x14ac:dyDescent="0.2">
      <c r="B9" s="290" t="s">
        <v>182</v>
      </c>
      <c r="C9" s="299"/>
      <c r="D9" s="300"/>
      <c r="E9" s="300"/>
      <c r="F9" s="300"/>
      <c r="G9" s="64"/>
      <c r="H9" s="312">
        <f>forcast!N22</f>
        <v>0.13465367923653249</v>
      </c>
      <c r="I9" s="28">
        <f>forcast!N23</f>
        <v>0.1313991201806799</v>
      </c>
      <c r="J9" s="28">
        <f>forcast!N24</f>
        <v>0.12357381051718641</v>
      </c>
      <c r="K9" s="28">
        <f>forcast!N25</f>
        <v>0.10777355387299514</v>
      </c>
      <c r="L9" s="313">
        <f>forcast!N26</f>
        <v>9.8262999836676634E-2</v>
      </c>
    </row>
    <row r="10" spans="2:12" x14ac:dyDescent="0.2">
      <c r="B10" s="291" t="s">
        <v>183</v>
      </c>
      <c r="C10" s="299"/>
      <c r="D10" s="300"/>
      <c r="E10" s="300"/>
      <c r="F10" s="300"/>
      <c r="G10" s="64"/>
      <c r="H10" s="312">
        <f>H9+1%</f>
        <v>0.1446536792365325</v>
      </c>
      <c r="I10" s="312">
        <f>I9+1%</f>
        <v>0.1413991201806799</v>
      </c>
      <c r="J10" s="312">
        <f>J9+1%</f>
        <v>0.13357381051718642</v>
      </c>
      <c r="K10" s="312">
        <f>K9+1%</f>
        <v>0.11777355387299514</v>
      </c>
      <c r="L10" s="312">
        <f>L9+1%</f>
        <v>0.10826299983667663</v>
      </c>
    </row>
    <row r="11" spans="2:12" x14ac:dyDescent="0.2">
      <c r="B11" s="290"/>
      <c r="C11" s="299"/>
      <c r="D11" s="300"/>
      <c r="E11" s="300"/>
      <c r="F11" s="300"/>
      <c r="G11" s="64"/>
      <c r="H11" s="314"/>
      <c r="I11" s="315"/>
      <c r="J11" s="315"/>
      <c r="K11" s="315"/>
      <c r="L11" s="316"/>
    </row>
    <row r="12" spans="2:12" x14ac:dyDescent="0.2">
      <c r="B12" s="287" t="s">
        <v>184</v>
      </c>
      <c r="C12" s="299"/>
      <c r="D12" s="300"/>
      <c r="E12" s="300"/>
      <c r="F12" s="300"/>
      <c r="G12" s="64"/>
      <c r="H12" s="314"/>
      <c r="I12" s="315"/>
      <c r="J12" s="315"/>
      <c r="K12" s="315"/>
      <c r="L12" s="316"/>
    </row>
    <row r="13" spans="2:12" x14ac:dyDescent="0.2">
      <c r="B13" s="292" t="s">
        <v>185</v>
      </c>
      <c r="C13" s="243">
        <f>'income statement'!C9</f>
        <v>79009.859999999986</v>
      </c>
      <c r="D13" s="244">
        <f>'income statement'!D9</f>
        <v>93785.97</v>
      </c>
      <c r="E13" s="244">
        <f>'income statement'!E9</f>
        <v>110588.83</v>
      </c>
      <c r="F13" s="244">
        <f>'income statement'!F9</f>
        <v>140313.92000000001</v>
      </c>
      <c r="G13" s="59">
        <f>'income statement'!G9</f>
        <v>164670.66999999998</v>
      </c>
      <c r="H13" s="317">
        <f>CHOOSE($C$1,H14,H15,H16)</f>
        <v>0.64238304837601801</v>
      </c>
      <c r="I13" s="318">
        <f>CHOOSE($C$1,I14,I15,I16)</f>
        <v>0.64865076907767916</v>
      </c>
      <c r="J13" s="318">
        <f>CHOOSE($C$1,J14,J15,J16)</f>
        <v>0.65254290475343935</v>
      </c>
      <c r="K13" s="318">
        <f>CHOOSE($C$1,K14,K15,K16)</f>
        <v>0.65641397313872307</v>
      </c>
      <c r="L13" s="319">
        <f>CHOOSE($C$1,L14,L15,L16)</f>
        <v>0.65478068674704648</v>
      </c>
    </row>
    <row r="14" spans="2:12" x14ac:dyDescent="0.2">
      <c r="B14" s="289" t="s">
        <v>181</v>
      </c>
      <c r="C14" s="299"/>
      <c r="D14" s="300"/>
      <c r="E14" s="300"/>
      <c r="F14" s="300"/>
      <c r="G14" s="64"/>
      <c r="H14" s="320">
        <f>H15+3%</f>
        <v>0.64238304837601801</v>
      </c>
      <c r="I14" s="320">
        <f>I15+3%</f>
        <v>0.64865076907767916</v>
      </c>
      <c r="J14" s="320">
        <f>J15+3%</f>
        <v>0.65254290475343935</v>
      </c>
      <c r="K14" s="320">
        <f>K15+3%</f>
        <v>0.65641397313872307</v>
      </c>
      <c r="L14" s="320">
        <f>L15+3%</f>
        <v>0.65478068674704648</v>
      </c>
    </row>
    <row r="15" spans="2:12" x14ac:dyDescent="0.2">
      <c r="B15" s="292" t="s">
        <v>186</v>
      </c>
      <c r="C15" s="301">
        <f>C13/C6</f>
        <v>0.58104444486771223</v>
      </c>
      <c r="D15" s="29">
        <f>D13/D6</f>
        <v>0.5991900906988783</v>
      </c>
      <c r="E15" s="29">
        <f>E13/E6</f>
        <v>0.60318756282702091</v>
      </c>
      <c r="F15" s="29">
        <f>F13/F6</f>
        <v>0.63458040509710634</v>
      </c>
      <c r="G15" s="32">
        <f>G13/G6</f>
        <v>0.64391273838937213</v>
      </c>
      <c r="H15" s="320">
        <f>AVERAGE(C15:G15)</f>
        <v>0.61238304837601798</v>
      </c>
      <c r="I15" s="320">
        <f>AVERAGE(D15:H15)</f>
        <v>0.61865076907767913</v>
      </c>
      <c r="J15" s="320">
        <f>AVERAGE(E15:I15)</f>
        <v>0.62254290475343932</v>
      </c>
      <c r="K15" s="320">
        <f>AVERAGE(F15:J15)</f>
        <v>0.62641397313872305</v>
      </c>
      <c r="L15" s="320">
        <f>AVERAGE(G15:K15)</f>
        <v>0.62478068674704645</v>
      </c>
    </row>
    <row r="16" spans="2:12" x14ac:dyDescent="0.2">
      <c r="B16" s="291" t="s">
        <v>183</v>
      </c>
      <c r="C16" s="299"/>
      <c r="D16" s="300"/>
      <c r="E16" s="300"/>
      <c r="F16" s="300"/>
      <c r="G16" s="64"/>
      <c r="H16" s="320">
        <f>H15-2%</f>
        <v>0.59238304837601796</v>
      </c>
      <c r="I16" s="320">
        <f>I15-2%</f>
        <v>0.59865076907767911</v>
      </c>
      <c r="J16" s="320">
        <f>J15-2%</f>
        <v>0.6025429047534393</v>
      </c>
      <c r="K16" s="320">
        <f>K15-2%</f>
        <v>0.60641397313872303</v>
      </c>
      <c r="L16" s="320">
        <f>L15-2%</f>
        <v>0.60478068674704644</v>
      </c>
    </row>
    <row r="17" spans="2:12" x14ac:dyDescent="0.2">
      <c r="B17" s="293"/>
      <c r="C17" s="299"/>
      <c r="D17" s="300"/>
      <c r="E17" s="300"/>
      <c r="F17" s="300"/>
      <c r="G17" s="64"/>
      <c r="H17" s="314"/>
      <c r="I17" s="315"/>
      <c r="J17" s="315"/>
      <c r="K17" s="315"/>
      <c r="L17" s="316"/>
    </row>
    <row r="18" spans="2:12" x14ac:dyDescent="0.2">
      <c r="B18" s="287" t="s">
        <v>187</v>
      </c>
      <c r="C18" s="299"/>
      <c r="D18" s="300"/>
      <c r="E18" s="300"/>
      <c r="F18" s="300"/>
      <c r="G18" s="64"/>
      <c r="H18" s="314"/>
      <c r="I18" s="315"/>
      <c r="J18" s="315"/>
      <c r="K18" s="315"/>
      <c r="L18" s="316"/>
    </row>
    <row r="19" spans="2:12" x14ac:dyDescent="0.2">
      <c r="B19" s="294" t="s">
        <v>188</v>
      </c>
      <c r="C19" s="299"/>
      <c r="D19" s="29">
        <f>'income statement'!D11/'income statement'!C11-1</f>
        <v>0.20132853667031103</v>
      </c>
      <c r="E19" s="29">
        <f>'income statement'!E11/'income statement'!D11-1</f>
        <v>0.2515873493661871</v>
      </c>
      <c r="F19" s="29">
        <f>'income statement'!F11/'income statement'!E11-1</f>
        <v>0.10632821797968561</v>
      </c>
      <c r="G19" s="32">
        <f>'income statement'!G11/'income statement'!F11-1</f>
        <v>0.13596116880271625</v>
      </c>
      <c r="H19" s="320">
        <f>AVERAGE(D19:G19)</f>
        <v>0.173801318204725</v>
      </c>
      <c r="I19" s="321">
        <f t="shared" ref="I19:L20" si="1">H19</f>
        <v>0.173801318204725</v>
      </c>
      <c r="J19" s="321">
        <f t="shared" si="1"/>
        <v>0.173801318204725</v>
      </c>
      <c r="K19" s="321">
        <f t="shared" si="1"/>
        <v>0.173801318204725</v>
      </c>
      <c r="L19" s="322">
        <f t="shared" si="1"/>
        <v>0.173801318204725</v>
      </c>
    </row>
    <row r="20" spans="2:12" x14ac:dyDescent="0.2">
      <c r="B20" s="289" t="s">
        <v>189</v>
      </c>
      <c r="C20" s="299"/>
      <c r="D20" s="29">
        <f>'income statement'!D13/'income statement'!C13-1</f>
        <v>-8.0417903541195601E-3</v>
      </c>
      <c r="E20" s="29">
        <f>'income statement'!E13/'income statement'!D13-1</f>
        <v>-8.3617436358467412E-3</v>
      </c>
      <c r="F20" s="29">
        <f>'income statement'!F13/'income statement'!E13-1</f>
        <v>0.18969769491804089</v>
      </c>
      <c r="G20" s="32">
        <f>'income statement'!G13/'income statement'!F13-1</f>
        <v>0.10928727318795084</v>
      </c>
      <c r="H20" s="320">
        <f>G20</f>
        <v>0.10928727318795084</v>
      </c>
      <c r="I20" s="320">
        <f t="shared" si="1"/>
        <v>0.10928727318795084</v>
      </c>
      <c r="J20" s="320">
        <f t="shared" si="1"/>
        <v>0.10928727318795084</v>
      </c>
      <c r="K20" s="320">
        <f t="shared" si="1"/>
        <v>0.10928727318795084</v>
      </c>
      <c r="L20" s="320">
        <f t="shared" si="1"/>
        <v>0.10928727318795084</v>
      </c>
    </row>
    <row r="21" spans="2:12" x14ac:dyDescent="0.2">
      <c r="B21" s="289"/>
      <c r="C21" s="299"/>
      <c r="D21" s="29"/>
      <c r="E21" s="29"/>
      <c r="F21" s="29"/>
      <c r="G21" s="32"/>
      <c r="H21" s="320"/>
      <c r="I21" s="321"/>
      <c r="J21" s="321"/>
      <c r="K21" s="321"/>
      <c r="L21" s="322"/>
    </row>
    <row r="22" spans="2:12" ht="27.75" x14ac:dyDescent="0.2">
      <c r="B22" s="295" t="s">
        <v>129</v>
      </c>
      <c r="C22" s="243">
        <f>'income statement'!C12</f>
        <v>7691.04</v>
      </c>
      <c r="D22" s="244">
        <f>'income statement'!D12</f>
        <v>5952.54</v>
      </c>
      <c r="E22" s="244">
        <f>'income statement'!E12</f>
        <v>6026.44</v>
      </c>
      <c r="F22" s="244">
        <f>'income statement'!F12</f>
        <v>5714.9</v>
      </c>
      <c r="G22" s="59">
        <f>'income statement'!G12</f>
        <v>6302.23</v>
      </c>
      <c r="H22" s="323">
        <f>G22</f>
        <v>6302.23</v>
      </c>
      <c r="I22" s="324">
        <f>H22</f>
        <v>6302.23</v>
      </c>
      <c r="J22" s="324">
        <f>I22</f>
        <v>6302.23</v>
      </c>
      <c r="K22" s="324">
        <f>J22</f>
        <v>6302.23</v>
      </c>
      <c r="L22" s="325">
        <f>K22</f>
        <v>6302.23</v>
      </c>
    </row>
    <row r="23" spans="2:12" x14ac:dyDescent="0.2">
      <c r="B23" s="289"/>
      <c r="C23" s="243"/>
      <c r="D23" s="244"/>
      <c r="E23" s="244"/>
      <c r="F23" s="244"/>
      <c r="G23" s="59"/>
      <c r="H23" s="326"/>
      <c r="I23" s="327"/>
      <c r="J23" s="327"/>
      <c r="K23" s="327"/>
      <c r="L23" s="328"/>
    </row>
    <row r="24" spans="2:12" x14ac:dyDescent="0.2">
      <c r="B24" s="290" t="s">
        <v>190</v>
      </c>
      <c r="C24" s="243">
        <f>'income statement'!C20</f>
        <v>4010.82</v>
      </c>
      <c r="D24" s="244">
        <f>'income statement'!D20</f>
        <v>4216.6099999999997</v>
      </c>
      <c r="E24" s="244">
        <f>'income statement'!E20</f>
        <v>4484.16</v>
      </c>
      <c r="F24" s="244">
        <f>'income statement'!F20</f>
        <v>4947.3900000000003</v>
      </c>
      <c r="G24" s="59">
        <f>'income statement'!G20</f>
        <v>5891.4</v>
      </c>
      <c r="H24" s="233">
        <f>H25*H26</f>
        <v>7427.5059801766738</v>
      </c>
      <c r="I24" s="234">
        <f>I25*I26</f>
        <v>7501.3795642713349</v>
      </c>
      <c r="J24" s="234">
        <f>J25*J26</f>
        <v>7366.1959052983366</v>
      </c>
      <c r="K24" s="234">
        <f>K25*K26</f>
        <v>6456.953856467323</v>
      </c>
      <c r="L24" s="235">
        <f>L25*L26</f>
        <v>5421.670925960816</v>
      </c>
    </row>
    <row r="25" spans="2:12" x14ac:dyDescent="0.2">
      <c r="B25" s="290" t="s">
        <v>191</v>
      </c>
      <c r="C25" s="243">
        <f>'income statement'!C19</f>
        <v>12235.800000000019</v>
      </c>
      <c r="D25" s="244">
        <f>'income statement'!D19</f>
        <v>14410.729999999996</v>
      </c>
      <c r="E25" s="244">
        <f>'income statement'!E19</f>
        <v>16973.040000000019</v>
      </c>
      <c r="F25" s="244">
        <f>'income statement'!F19</f>
        <v>20423.499999999993</v>
      </c>
      <c r="G25" s="59">
        <f>'income statement'!G19</f>
        <v>23104.010000000035</v>
      </c>
      <c r="H25" s="233">
        <f>'income statement'!H19</f>
        <v>28113.92905288349</v>
      </c>
      <c r="I25" s="234">
        <f>'income statement'!I19</f>
        <v>28393.548713596323</v>
      </c>
      <c r="J25" s="234">
        <f>'income statement'!J19</f>
        <v>27881.863659741182</v>
      </c>
      <c r="K25" s="234">
        <f>'income statement'!K19</f>
        <v>24440.282256648796</v>
      </c>
      <c r="L25" s="235">
        <f>'income statement'!L19</f>
        <v>20521.622219807072</v>
      </c>
    </row>
    <row r="26" spans="2:12" x14ac:dyDescent="0.2">
      <c r="B26" s="296" t="s">
        <v>192</v>
      </c>
      <c r="C26" s="302">
        <f>C24/C25</f>
        <v>0.32779385083116708</v>
      </c>
      <c r="D26" s="303">
        <f>D24/D25</f>
        <v>0.29260210967799694</v>
      </c>
      <c r="E26" s="303">
        <f>E24/E25</f>
        <v>0.26419309681706959</v>
      </c>
      <c r="F26" s="303">
        <f>F24/F25</f>
        <v>0.24224006658995775</v>
      </c>
      <c r="G26" s="304">
        <f>G24/G25</f>
        <v>0.25499469572597966</v>
      </c>
      <c r="H26" s="329">
        <f>MEDIAN(C26:G26)</f>
        <v>0.26419309681706959</v>
      </c>
      <c r="I26" s="330">
        <f>H26</f>
        <v>0.26419309681706959</v>
      </c>
      <c r="J26" s="330">
        <f>I26</f>
        <v>0.26419309681706959</v>
      </c>
      <c r="K26" s="330">
        <f>J26</f>
        <v>0.26419309681706959</v>
      </c>
      <c r="L26" s="331">
        <f>K26</f>
        <v>0.26419309681706959</v>
      </c>
    </row>
  </sheetData>
  <conditionalFormatting sqref="C1">
    <cfRule type="containsText" dxfId="2" priority="1" operator="containsText" text="3">
      <formula>NOT(ISERROR(SEARCH("3",C1)))</formula>
    </cfRule>
    <cfRule type="containsText" dxfId="1" priority="2" operator="containsText" text="1">
      <formula>NOT(ISERROR(SEARCH("1",C1)))</formula>
    </cfRule>
    <cfRule type="containsText" dxfId="0" priority="3" operator="containsText" text="2">
      <formula>NOT(ISERROR(SEARCH("2",C1)))</formula>
    </cfRule>
  </conditionalFormatting>
  <dataValidations count="1">
    <dataValidation type="list" allowBlank="1" showInputMessage="1" showErrorMessage="1" sqref="C1" xr:uid="{BFD8DF58-DEA1-4290-AC8A-BADD72903DD5}">
      <formula1>"1, 2, 3"</formula1>
    </dataValidation>
  </dataValidations>
  <hyperlinks>
    <hyperlink ref="L1" location="Index!A1" display="Index!A1" xr:uid="{1E977FCE-8CE2-410B-823C-8CF5579C93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E10F-56E1-4914-A810-EA0B630AD109}">
  <sheetPr codeName="Sheet2"/>
  <dimension ref="B2:M251"/>
  <sheetViews>
    <sheetView showGridLines="0" tabSelected="1" zoomScale="103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F182" sqref="F182"/>
    </sheetView>
  </sheetViews>
  <sheetFormatPr defaultRowHeight="15" x14ac:dyDescent="0.2"/>
  <cols>
    <col min="1" max="1" width="2.015625" customWidth="1"/>
    <col min="2" max="2" width="36.58984375" bestFit="1" customWidth="1"/>
    <col min="3" max="12" width="14.9296875" customWidth="1"/>
  </cols>
  <sheetData>
    <row r="2" spans="2:12" ht="29.25" x14ac:dyDescent="0.4">
      <c r="B2" s="5" t="s">
        <v>204</v>
      </c>
    </row>
    <row r="3" spans="2:12" x14ac:dyDescent="0.2">
      <c r="B3" t="s">
        <v>122</v>
      </c>
    </row>
    <row r="4" spans="2:12" x14ac:dyDescent="0.2">
      <c r="B4" s="51" t="s">
        <v>123</v>
      </c>
      <c r="C4" s="52">
        <v>44389</v>
      </c>
      <c r="D4" s="52">
        <f>C4+365</f>
        <v>44754</v>
      </c>
      <c r="E4" s="52">
        <f>D4+365</f>
        <v>45119</v>
      </c>
      <c r="F4" s="52">
        <f t="shared" ref="F4:L4" si="0">E4+365</f>
        <v>45484</v>
      </c>
      <c r="G4" s="53">
        <f t="shared" si="0"/>
        <v>45849</v>
      </c>
      <c r="H4" s="54">
        <f t="shared" si="0"/>
        <v>46214</v>
      </c>
      <c r="I4" s="54">
        <f t="shared" si="0"/>
        <v>46579</v>
      </c>
      <c r="J4" s="54">
        <f t="shared" si="0"/>
        <v>46944</v>
      </c>
      <c r="K4" s="54">
        <f t="shared" si="0"/>
        <v>47309</v>
      </c>
      <c r="L4" s="54">
        <f t="shared" si="0"/>
        <v>47674</v>
      </c>
    </row>
    <row r="5" spans="2:12" x14ac:dyDescent="0.2">
      <c r="B5" s="63" t="s">
        <v>138</v>
      </c>
      <c r="C5" s="60"/>
      <c r="D5" s="60"/>
      <c r="E5" s="60"/>
      <c r="F5" s="60"/>
      <c r="G5" s="61"/>
      <c r="H5" s="62"/>
      <c r="I5" s="62"/>
      <c r="J5" s="62"/>
      <c r="K5" s="62"/>
      <c r="L5" s="62"/>
    </row>
    <row r="6" spans="2:12" x14ac:dyDescent="0.2">
      <c r="B6" t="s">
        <v>55</v>
      </c>
      <c r="C6" s="60">
        <f>'balance sheet1'!C7</f>
        <v>5820.54</v>
      </c>
      <c r="D6" s="60">
        <f>'balance sheet1'!D7</f>
        <v>5943.32</v>
      </c>
      <c r="E6" s="60">
        <f>'balance sheet1'!E7</f>
        <v>6828.78</v>
      </c>
      <c r="F6" s="60">
        <f>'balance sheet1'!F7</f>
        <v>6620.19</v>
      </c>
      <c r="G6" s="60">
        <f>'balance sheet1'!G7</f>
        <v>7670.55</v>
      </c>
      <c r="H6" s="62">
        <f>H7*H8</f>
        <v>11408.642575667416</v>
      </c>
      <c r="I6" s="62">
        <f>I7*I8</f>
        <v>12918.469096205927</v>
      </c>
      <c r="J6" s="62">
        <f>J7*J8</f>
        <v>14471.987995094554</v>
      </c>
      <c r="K6" s="62">
        <f>K7*K8</f>
        <v>15981.211650120413</v>
      </c>
      <c r="L6" s="62">
        <f>L7*L8</f>
        <v>17348.48722651778</v>
      </c>
    </row>
    <row r="7" spans="2:12" x14ac:dyDescent="0.2">
      <c r="B7" t="s">
        <v>205</v>
      </c>
      <c r="C7" s="60">
        <f>'income statement'!C9</f>
        <v>79009.859999999986</v>
      </c>
      <c r="D7" s="60">
        <f>'income statement'!D9</f>
        <v>93785.97</v>
      </c>
      <c r="E7" s="60">
        <f>'income statement'!E9</f>
        <v>110588.83</v>
      </c>
      <c r="F7" s="60">
        <f>'income statement'!F9</f>
        <v>140313.92000000001</v>
      </c>
      <c r="G7" s="60">
        <f>'income statement'!G9</f>
        <v>164670.66999999998</v>
      </c>
      <c r="H7" s="62">
        <f>'income statement'!H9</f>
        <v>184757.51661808495</v>
      </c>
      <c r="I7" s="62">
        <f>'income statement'!I9</f>
        <v>209208.43587589159</v>
      </c>
      <c r="J7" s="62">
        <f>'income statement'!J9</f>
        <v>234366.93232928176</v>
      </c>
      <c r="K7" s="62">
        <f>'income statement'!K9</f>
        <v>258808.08846809913</v>
      </c>
      <c r="L7" s="62">
        <f>'income statement'!L9</f>
        <v>280950.4632819547</v>
      </c>
    </row>
    <row r="8" spans="2:12" x14ac:dyDescent="0.2">
      <c r="B8" t="s">
        <v>206</v>
      </c>
      <c r="C8" s="83">
        <f>C6/C7</f>
        <v>7.3668526940814744E-2</v>
      </c>
      <c r="D8" s="83">
        <f>D6/D7</f>
        <v>6.3371099110026793E-2</v>
      </c>
      <c r="E8" s="83">
        <f>E6/E7</f>
        <v>6.1749274316402473E-2</v>
      </c>
      <c r="F8" s="83">
        <f>F6/F7</f>
        <v>4.718127752399761E-2</v>
      </c>
      <c r="G8" s="84">
        <f>G6/G7</f>
        <v>4.6581154980422444E-2</v>
      </c>
      <c r="H8" s="85">
        <f>MEDIAN(C8:G8)</f>
        <v>6.1749274316402473E-2</v>
      </c>
      <c r="I8" s="85">
        <f>MEDIAN(D8:H8)</f>
        <v>6.1749274316402473E-2</v>
      </c>
      <c r="J8" s="85">
        <f>MEDIAN(E8:I8)</f>
        <v>6.1749274316402473E-2</v>
      </c>
      <c r="K8" s="85">
        <f>MEDIAN(F8:J8)</f>
        <v>6.1749274316402473E-2</v>
      </c>
      <c r="L8" s="85">
        <f>MEDIAN(G8:K8)</f>
        <v>6.1749274316402473E-2</v>
      </c>
    </row>
    <row r="9" spans="2:12" x14ac:dyDescent="0.2">
      <c r="C9" s="60"/>
      <c r="D9" s="60"/>
      <c r="E9" s="60"/>
      <c r="F9" s="60"/>
      <c r="G9" s="61"/>
      <c r="H9" s="62"/>
      <c r="I9" s="62"/>
      <c r="J9" s="62"/>
      <c r="K9" s="62"/>
      <c r="L9" s="62"/>
    </row>
    <row r="10" spans="2:12" x14ac:dyDescent="0.2">
      <c r="B10" t="s">
        <v>56</v>
      </c>
      <c r="C10" s="60">
        <f>'balance sheet1'!C8</f>
        <v>31011.23</v>
      </c>
      <c r="D10" s="60">
        <f>'balance sheet1'!D8</f>
        <v>29799.58</v>
      </c>
      <c r="E10" s="60">
        <f>'balance sheet1'!E8</f>
        <v>35573.42</v>
      </c>
      <c r="F10" s="60">
        <f>'balance sheet1'!F8</f>
        <v>34957.629999999997</v>
      </c>
      <c r="G10" s="60">
        <f>'balance sheet1'!G8</f>
        <v>43360.62</v>
      </c>
      <c r="H10" s="62">
        <f>H11*H12</f>
        <v>54078.46968423279</v>
      </c>
      <c r="I10" s="62">
        <f>I11*I12</f>
        <v>60643.548324616218</v>
      </c>
      <c r="J10" s="62">
        <f>J11*J12</f>
        <v>67531.067191126014</v>
      </c>
      <c r="K10" s="62">
        <f>K11*K12</f>
        <v>74133.819627238423</v>
      </c>
      <c r="L10" s="62">
        <f>L11*L12</f>
        <v>80677.092936889589</v>
      </c>
    </row>
    <row r="11" spans="2:12" x14ac:dyDescent="0.2">
      <c r="B11" t="s">
        <v>195</v>
      </c>
      <c r="C11" s="60">
        <f>'income statement'!C6</f>
        <v>135979.03</v>
      </c>
      <c r="D11" s="60">
        <f>'income statement'!D6</f>
        <v>156521.23000000001</v>
      </c>
      <c r="E11" s="60">
        <f>'income statement'!E6</f>
        <v>183340.7</v>
      </c>
      <c r="F11" s="60">
        <f>'income statement'!F6</f>
        <v>221112.91</v>
      </c>
      <c r="G11" s="60">
        <f>'income statement'!G6</f>
        <v>255734.45</v>
      </c>
      <c r="H11" s="62">
        <f>'income statement'!H6</f>
        <v>287612.69010003109</v>
      </c>
      <c r="I11" s="62">
        <f>'income statement'!I6</f>
        <v>322528.6176309734</v>
      </c>
      <c r="J11" s="62">
        <f>'income statement'!J6</f>
        <v>359159.42173616361</v>
      </c>
      <c r="K11" s="62">
        <f>'income statement'!K6</f>
        <v>394275.71480627818</v>
      </c>
      <c r="L11" s="62">
        <f>'income statement'!L6</f>
        <v>429075.67215783027</v>
      </c>
    </row>
    <row r="12" spans="2:12" x14ac:dyDescent="0.2">
      <c r="B12" t="s">
        <v>207</v>
      </c>
      <c r="C12" s="86">
        <f>C10/C11</f>
        <v>0.22805891467235795</v>
      </c>
      <c r="D12" s="86">
        <f>D10/D11</f>
        <v>0.19038682484158859</v>
      </c>
      <c r="E12" s="86">
        <f>E10/E11</f>
        <v>0.19402903992403212</v>
      </c>
      <c r="F12" s="86">
        <f>F10/F11</f>
        <v>0.15809854793191405</v>
      </c>
      <c r="G12" s="87">
        <f>G10/G11</f>
        <v>0.1695533003081908</v>
      </c>
      <c r="H12" s="88">
        <f>AVERAGE($C$12:$G$12)</f>
        <v>0.18802532553561671</v>
      </c>
      <c r="I12" s="88">
        <f>AVERAGE($C$12:$G$12)</f>
        <v>0.18802532553561671</v>
      </c>
      <c r="J12" s="88">
        <f>AVERAGE($C$12:$G$12)</f>
        <v>0.18802532553561671</v>
      </c>
      <c r="K12" s="88">
        <f>AVERAGE($C$12:$G$12)</f>
        <v>0.18802532553561671</v>
      </c>
      <c r="L12" s="88">
        <f>AVERAGE($C$12:$G$12)</f>
        <v>0.18802532553561671</v>
      </c>
    </row>
    <row r="13" spans="2:12" x14ac:dyDescent="0.2">
      <c r="C13" s="60"/>
      <c r="D13" s="60"/>
      <c r="E13" s="60"/>
      <c r="F13" s="60"/>
      <c r="G13" s="61"/>
      <c r="H13" s="62"/>
      <c r="I13" s="62"/>
      <c r="J13" s="62"/>
      <c r="K13" s="62"/>
      <c r="L13" s="62"/>
    </row>
    <row r="14" spans="2:12" x14ac:dyDescent="0.2">
      <c r="B14" t="s">
        <v>57</v>
      </c>
      <c r="C14" s="60">
        <f>'balance sheet1'!C9</f>
        <v>42229.78</v>
      </c>
      <c r="D14" s="60">
        <f>'balance sheet1'!D9</f>
        <v>46139.32</v>
      </c>
      <c r="E14" s="60">
        <f>'balance sheet1'!E9</f>
        <v>44731.53</v>
      </c>
      <c r="F14" s="60">
        <f>'balance sheet1'!F9</f>
        <v>48770.95</v>
      </c>
      <c r="G14" s="60">
        <f>'balance sheet1'!G9</f>
        <v>53713.68</v>
      </c>
      <c r="H14" s="62">
        <f>H15*H16</f>
        <v>73624.739128236688</v>
      </c>
      <c r="I14" s="62">
        <f>I15*I16</f>
        <v>82562.717681936687</v>
      </c>
      <c r="J14" s="62">
        <f>J15*J16</f>
        <v>91939.680135728922</v>
      </c>
      <c r="K14" s="62">
        <f>K15*K16</f>
        <v>100928.94940454555</v>
      </c>
      <c r="L14" s="62">
        <f>L15*L16</f>
        <v>109837.24124935489</v>
      </c>
    </row>
    <row r="15" spans="2:12" x14ac:dyDescent="0.2">
      <c r="B15" t="s">
        <v>195</v>
      </c>
      <c r="C15" s="60">
        <f t="shared" ref="C15:L15" si="1">C11</f>
        <v>135979.03</v>
      </c>
      <c r="D15" s="60">
        <f t="shared" si="1"/>
        <v>156521.23000000001</v>
      </c>
      <c r="E15" s="60">
        <f t="shared" si="1"/>
        <v>183340.7</v>
      </c>
      <c r="F15" s="60">
        <f t="shared" si="1"/>
        <v>221112.91</v>
      </c>
      <c r="G15" s="61">
        <f t="shared" si="1"/>
        <v>255734.45</v>
      </c>
      <c r="H15" s="62">
        <f t="shared" si="1"/>
        <v>287612.69010003109</v>
      </c>
      <c r="I15" s="62">
        <f t="shared" si="1"/>
        <v>322528.6176309734</v>
      </c>
      <c r="J15" s="62">
        <f t="shared" si="1"/>
        <v>359159.42173616361</v>
      </c>
      <c r="K15" s="62">
        <f t="shared" si="1"/>
        <v>394275.71480627818</v>
      </c>
      <c r="L15" s="62">
        <f t="shared" si="1"/>
        <v>429075.67215783027</v>
      </c>
    </row>
    <row r="16" spans="2:12" x14ac:dyDescent="0.2">
      <c r="B16" t="s">
        <v>208</v>
      </c>
      <c r="C16" s="86">
        <f>C14/C15</f>
        <v>0.31056097399724059</v>
      </c>
      <c r="D16" s="86">
        <f>D14/D15</f>
        <v>0.29477994774255223</v>
      </c>
      <c r="E16" s="86">
        <f>E14/E15</f>
        <v>0.24398036006189566</v>
      </c>
      <c r="F16" s="86">
        <f>F14/F15</f>
        <v>0.22057034118903324</v>
      </c>
      <c r="G16" s="87">
        <f>G14/G15</f>
        <v>0.21003693479701308</v>
      </c>
      <c r="H16" s="88">
        <f>AVERAGE($C$16:$G$16)</f>
        <v>0.2559857115575469</v>
      </c>
      <c r="I16" s="88">
        <f>AVERAGE($C$16:$G$16)</f>
        <v>0.2559857115575469</v>
      </c>
      <c r="J16" s="88">
        <f>AVERAGE($C$16:$G$16)</f>
        <v>0.2559857115575469</v>
      </c>
      <c r="K16" s="88">
        <f>AVERAGE($C$16:$G$16)</f>
        <v>0.2559857115575469</v>
      </c>
      <c r="L16" s="88">
        <f>AVERAGE($C$16:$G$16)</f>
        <v>0.2559857115575469</v>
      </c>
    </row>
    <row r="17" spans="2:13" x14ac:dyDescent="0.2">
      <c r="C17" s="60"/>
      <c r="D17" s="60"/>
      <c r="E17" s="60"/>
      <c r="F17" s="60"/>
      <c r="G17" s="61"/>
      <c r="H17" s="88"/>
      <c r="I17" s="62"/>
      <c r="J17" s="62"/>
      <c r="K17" s="62"/>
      <c r="L17" s="62"/>
    </row>
    <row r="18" spans="2:13" x14ac:dyDescent="0.2">
      <c r="B18" t="s">
        <v>59</v>
      </c>
      <c r="C18" s="60">
        <f>'balance sheet1'!C11</f>
        <v>2867.98</v>
      </c>
      <c r="D18" s="60">
        <f>'balance sheet1'!D11</f>
        <v>5182.93</v>
      </c>
      <c r="E18" s="60">
        <f>'balance sheet1'!E11</f>
        <v>5592.91</v>
      </c>
      <c r="F18" s="60">
        <f>'balance sheet1'!F11</f>
        <v>3399.89</v>
      </c>
      <c r="G18" s="60">
        <f>'balance sheet1'!G11</f>
        <v>10778.34</v>
      </c>
      <c r="H18" s="62">
        <f>H19*H20</f>
        <v>8181.6054120605713</v>
      </c>
      <c r="I18" s="62">
        <f>I19*I20</f>
        <v>9174.8451107502133</v>
      </c>
      <c r="J18" s="62">
        <f>J19*J20</f>
        <v>10216.867230883092</v>
      </c>
      <c r="K18" s="62">
        <f>K19*K20</f>
        <v>11215.806649495078</v>
      </c>
      <c r="L18" s="62">
        <f>L19*L20</f>
        <v>12205.747389967659</v>
      </c>
    </row>
    <row r="19" spans="2:13" x14ac:dyDescent="0.2">
      <c r="B19" t="s">
        <v>195</v>
      </c>
      <c r="C19" s="60">
        <f t="shared" ref="C19:L19" si="2">C15</f>
        <v>135979.03</v>
      </c>
      <c r="D19" s="60">
        <f t="shared" si="2"/>
        <v>156521.23000000001</v>
      </c>
      <c r="E19" s="60">
        <f t="shared" si="2"/>
        <v>183340.7</v>
      </c>
      <c r="F19" s="60">
        <f t="shared" si="2"/>
        <v>221112.91</v>
      </c>
      <c r="G19" s="60">
        <f t="shared" si="2"/>
        <v>255734.45</v>
      </c>
      <c r="H19" s="62">
        <f t="shared" si="2"/>
        <v>287612.69010003109</v>
      </c>
      <c r="I19" s="62">
        <f t="shared" si="2"/>
        <v>322528.6176309734</v>
      </c>
      <c r="J19" s="62">
        <f t="shared" si="2"/>
        <v>359159.42173616361</v>
      </c>
      <c r="K19" s="62">
        <f t="shared" si="2"/>
        <v>394275.71480627818</v>
      </c>
      <c r="L19" s="62">
        <f t="shared" si="2"/>
        <v>429075.67215783027</v>
      </c>
    </row>
    <row r="20" spans="2:13" x14ac:dyDescent="0.2">
      <c r="B20" t="s">
        <v>209</v>
      </c>
      <c r="C20" s="86">
        <f>C18/C19</f>
        <v>2.109134033387354E-2</v>
      </c>
      <c r="D20" s="86">
        <f>D18/D19</f>
        <v>3.3113271599002896E-2</v>
      </c>
      <c r="E20" s="86">
        <f>E18/E19</f>
        <v>3.0505556049475101E-2</v>
      </c>
      <c r="F20" s="86">
        <f>F18/F19</f>
        <v>1.5376261838352178E-2</v>
      </c>
      <c r="G20" s="87">
        <f>G18/G19</f>
        <v>4.2146609500597197E-2</v>
      </c>
      <c r="H20" s="88">
        <f>AVERAGE($C$20:$G$20)</f>
        <v>2.8446607864260183E-2</v>
      </c>
      <c r="I20" s="88">
        <f>AVERAGE($C$20:$G$20)</f>
        <v>2.8446607864260183E-2</v>
      </c>
      <c r="J20" s="88">
        <f>AVERAGE($C$20:$G$20)</f>
        <v>2.8446607864260183E-2</v>
      </c>
      <c r="K20" s="88">
        <f>AVERAGE($C$20:$G$20)</f>
        <v>2.8446607864260183E-2</v>
      </c>
      <c r="L20" s="88">
        <f>AVERAGE($C$20:$G$20)</f>
        <v>2.8446607864260183E-2</v>
      </c>
    </row>
    <row r="21" spans="2:13" x14ac:dyDescent="0.2">
      <c r="C21" s="60"/>
      <c r="D21" s="60"/>
      <c r="E21" s="60"/>
      <c r="F21" s="60"/>
      <c r="G21" s="61"/>
      <c r="H21" s="62"/>
      <c r="I21" s="62"/>
      <c r="J21" s="62"/>
      <c r="K21" s="62"/>
      <c r="L21" s="62"/>
    </row>
    <row r="22" spans="2:13" x14ac:dyDescent="0.2">
      <c r="B22" t="s">
        <v>47</v>
      </c>
      <c r="C22" s="60">
        <f>'balance sheet1'!C12</f>
        <v>41379.03</v>
      </c>
      <c r="D22" s="60">
        <f>'balance sheet1'!D12</f>
        <v>42269.2</v>
      </c>
      <c r="E22" s="60">
        <f>'balance sheet1'!E12</f>
        <v>40460.550000000003</v>
      </c>
      <c r="F22" s="60">
        <f>'balance sheet1'!F12</f>
        <v>34814.589999999997</v>
      </c>
      <c r="G22" s="60">
        <f>'balance sheet1'!G12</f>
        <v>36077.51</v>
      </c>
      <c r="H22" s="62">
        <f>G22</f>
        <v>36077.51</v>
      </c>
      <c r="I22" s="62">
        <f>H22</f>
        <v>36077.51</v>
      </c>
      <c r="J22" s="62">
        <f>I22</f>
        <v>36077.51</v>
      </c>
      <c r="K22" s="62">
        <f>J22</f>
        <v>36077.51</v>
      </c>
      <c r="L22" s="62">
        <f>K22</f>
        <v>36077.51</v>
      </c>
    </row>
    <row r="23" spans="2:13" x14ac:dyDescent="0.2">
      <c r="C23" s="89"/>
      <c r="D23" s="89"/>
      <c r="E23" s="89"/>
      <c r="F23" s="89"/>
      <c r="G23" s="90"/>
      <c r="H23" s="91"/>
      <c r="I23" s="91"/>
      <c r="J23" s="91"/>
      <c r="K23" s="91"/>
      <c r="L23" s="91"/>
    </row>
    <row r="24" spans="2:13" x14ac:dyDescent="0.2">
      <c r="B24" t="s">
        <v>48</v>
      </c>
      <c r="C24" s="60">
        <f>'balance sheet1'!C13</f>
        <v>235.35</v>
      </c>
      <c r="D24" s="60">
        <f>'balance sheet1'!D13</f>
        <v>280.33999999999997</v>
      </c>
      <c r="E24" s="60">
        <f>'balance sheet1'!E13</f>
        <v>251.15</v>
      </c>
      <c r="F24" s="60">
        <f>'balance sheet1'!F13</f>
        <v>106.54</v>
      </c>
      <c r="G24" s="60">
        <f>'balance sheet1'!G13</f>
        <v>416.85</v>
      </c>
      <c r="H24" s="62">
        <f>G24</f>
        <v>416.85</v>
      </c>
      <c r="I24" s="62">
        <f>H24</f>
        <v>416.85</v>
      </c>
      <c r="J24" s="62">
        <f>I24</f>
        <v>416.85</v>
      </c>
      <c r="K24" s="62">
        <f>J24</f>
        <v>416.85</v>
      </c>
      <c r="L24" s="62">
        <f>K24</f>
        <v>416.85</v>
      </c>
    </row>
    <row r="25" spans="2:13" x14ac:dyDescent="0.2">
      <c r="C25" s="60"/>
      <c r="D25" s="60"/>
      <c r="E25" s="60"/>
      <c r="F25" s="60"/>
      <c r="G25" s="61"/>
      <c r="H25" s="62"/>
      <c r="I25" s="62"/>
      <c r="J25" s="62"/>
      <c r="K25" s="62"/>
      <c r="L25" s="62"/>
    </row>
    <row r="26" spans="2:13" x14ac:dyDescent="0.2">
      <c r="B26" t="s">
        <v>49</v>
      </c>
      <c r="C26" s="60">
        <f>'balance sheet1'!C14</f>
        <v>3251.68</v>
      </c>
      <c r="D26" s="60">
        <f>'balance sheet1'!D14</f>
        <v>3655.82</v>
      </c>
      <c r="E26" s="60">
        <f>'balance sheet1'!E14</f>
        <v>4930.1000000000004</v>
      </c>
      <c r="F26" s="60">
        <f>'balance sheet1'!F14</f>
        <v>5563.92</v>
      </c>
      <c r="G26" s="60">
        <f>'balance sheet1'!G14</f>
        <v>5419.89</v>
      </c>
      <c r="H26" s="62">
        <f>G26</f>
        <v>5419.89</v>
      </c>
      <c r="I26" s="62">
        <f>H26</f>
        <v>5419.89</v>
      </c>
      <c r="J26" s="62">
        <f>I26</f>
        <v>5419.89</v>
      </c>
      <c r="K26" s="62">
        <f>J26</f>
        <v>5419.89</v>
      </c>
      <c r="L26" s="62">
        <f>K26</f>
        <v>5419.89</v>
      </c>
    </row>
    <row r="27" spans="2:13" x14ac:dyDescent="0.2">
      <c r="C27" s="60"/>
      <c r="D27" s="60"/>
      <c r="E27" s="60"/>
      <c r="F27" s="60"/>
      <c r="G27" s="60"/>
      <c r="H27" s="62"/>
      <c r="I27" s="62"/>
      <c r="J27" s="62"/>
      <c r="K27" s="62"/>
      <c r="L27" s="62"/>
    </row>
    <row r="28" spans="2:13" x14ac:dyDescent="0.2">
      <c r="B28" t="s">
        <v>60</v>
      </c>
      <c r="C28" s="60">
        <f>'balance sheet1'!C15</f>
        <v>54791.48</v>
      </c>
      <c r="D28" s="60">
        <f>'balance sheet1'!D15</f>
        <v>60331.55</v>
      </c>
      <c r="E28" s="60">
        <f>'balance sheet1'!E15</f>
        <v>65920.39</v>
      </c>
      <c r="F28" s="60">
        <f>'balance sheet1'!F15</f>
        <v>71391.03</v>
      </c>
      <c r="G28" s="60">
        <f>'balance sheet1'!G15</f>
        <v>75559.83</v>
      </c>
      <c r="H28" s="62">
        <f>G28</f>
        <v>75559.83</v>
      </c>
      <c r="I28" s="62">
        <f>H28</f>
        <v>75559.83</v>
      </c>
      <c r="J28" s="62">
        <f>I28</f>
        <v>75559.83</v>
      </c>
      <c r="K28" s="62">
        <f>J28</f>
        <v>75559.83</v>
      </c>
      <c r="L28" s="62">
        <f>K28</f>
        <v>75559.83</v>
      </c>
    </row>
    <row r="29" spans="2:13" x14ac:dyDescent="0.2">
      <c r="C29" s="60"/>
      <c r="D29" s="60"/>
      <c r="E29" s="60"/>
      <c r="F29" s="60"/>
      <c r="G29" s="61"/>
      <c r="H29" s="62"/>
      <c r="I29" s="62"/>
      <c r="J29" s="62"/>
      <c r="K29" s="62"/>
      <c r="L29" s="62"/>
    </row>
    <row r="30" spans="2:13" x14ac:dyDescent="0.2">
      <c r="B30" s="63" t="s">
        <v>140</v>
      </c>
      <c r="C30" s="60"/>
      <c r="D30" s="60"/>
      <c r="E30" s="60"/>
      <c r="F30" s="60"/>
      <c r="G30" s="61"/>
      <c r="H30" s="62"/>
      <c r="I30" s="62"/>
      <c r="J30" s="62"/>
      <c r="K30" s="62"/>
      <c r="L30" s="62"/>
    </row>
    <row r="31" spans="2:13" x14ac:dyDescent="0.2">
      <c r="B31" t="s">
        <v>37</v>
      </c>
      <c r="C31" s="36"/>
      <c r="D31" s="45"/>
      <c r="E31" s="45"/>
      <c r="F31" s="45"/>
      <c r="G31" s="92"/>
      <c r="H31" s="117">
        <v>5.5199999999999999E-2</v>
      </c>
      <c r="I31" s="117">
        <v>5.6300000000000003E-2</v>
      </c>
      <c r="J31" s="117">
        <v>5.7299999999999997E-2</v>
      </c>
      <c r="K31" s="117">
        <v>5.8299999999999998E-2</v>
      </c>
      <c r="L31" s="117">
        <v>5.8999999999999997E-2</v>
      </c>
    </row>
    <row r="32" spans="2:13" x14ac:dyDescent="0.2">
      <c r="B32" t="s">
        <v>39</v>
      </c>
      <c r="C32" s="36"/>
      <c r="D32" s="45"/>
      <c r="E32" s="45"/>
      <c r="F32" s="45"/>
      <c r="G32" s="92"/>
      <c r="H32" s="117">
        <v>0</v>
      </c>
      <c r="I32" s="117">
        <v>0</v>
      </c>
      <c r="J32" s="117">
        <v>0</v>
      </c>
      <c r="K32" s="117">
        <v>0</v>
      </c>
      <c r="L32" s="117">
        <v>0</v>
      </c>
      <c r="M32" s="117"/>
    </row>
    <row r="33" spans="2:12" x14ac:dyDescent="0.2">
      <c r="B33" t="s">
        <v>42</v>
      </c>
      <c r="C33" s="36"/>
      <c r="D33" s="45"/>
      <c r="E33" s="45"/>
      <c r="F33" s="45"/>
      <c r="G33" s="92"/>
      <c r="H33" s="117">
        <v>0</v>
      </c>
      <c r="I33" s="117">
        <v>0</v>
      </c>
      <c r="J33" s="117">
        <v>0</v>
      </c>
      <c r="K33" s="117">
        <v>0</v>
      </c>
      <c r="L33" s="117">
        <v>0</v>
      </c>
    </row>
    <row r="34" spans="2:12" x14ac:dyDescent="0.2">
      <c r="B34" t="s">
        <v>44</v>
      </c>
      <c r="C34" s="36"/>
      <c r="D34" s="45"/>
      <c r="E34" s="45"/>
      <c r="F34" s="45"/>
      <c r="G34" s="92"/>
      <c r="H34" s="117">
        <v>6.1899999999999997E-2</v>
      </c>
      <c r="I34" s="117">
        <v>6.1199999999999997E-2</v>
      </c>
      <c r="J34" s="117">
        <v>6.08E-2</v>
      </c>
      <c r="K34" s="117">
        <v>6.0299999999999999E-2</v>
      </c>
      <c r="L34" s="117">
        <v>5.9900000000000002E-2</v>
      </c>
    </row>
    <row r="35" spans="2:12" x14ac:dyDescent="0.2">
      <c r="B35" t="s">
        <v>38</v>
      </c>
      <c r="C35" s="36"/>
      <c r="D35" s="45"/>
      <c r="E35" s="45"/>
      <c r="F35" s="45"/>
      <c r="G35" s="92"/>
      <c r="H35" s="117">
        <v>0.25059999999999999</v>
      </c>
      <c r="I35" s="117">
        <v>0.25069999999999998</v>
      </c>
      <c r="J35" s="117">
        <v>0.25080000000000002</v>
      </c>
      <c r="K35" s="117">
        <v>0.25090000000000001</v>
      </c>
      <c r="L35" s="117">
        <v>0.25109999999999999</v>
      </c>
    </row>
    <row r="36" spans="2:12" x14ac:dyDescent="0.2">
      <c r="B36" t="s">
        <v>40</v>
      </c>
      <c r="C36" s="36"/>
      <c r="D36" s="45"/>
      <c r="E36" s="45"/>
      <c r="F36" s="45"/>
      <c r="G36" s="92"/>
      <c r="H36" s="117">
        <v>0</v>
      </c>
      <c r="I36" s="117">
        <v>0</v>
      </c>
      <c r="J36" s="117">
        <v>0</v>
      </c>
      <c r="K36" s="117">
        <v>0</v>
      </c>
      <c r="L36" s="117">
        <v>0</v>
      </c>
    </row>
    <row r="37" spans="2:12" x14ac:dyDescent="0.2">
      <c r="B37" t="s">
        <v>41</v>
      </c>
      <c r="C37" s="36"/>
      <c r="D37" s="45"/>
      <c r="E37" s="45"/>
      <c r="F37" s="45"/>
      <c r="G37" s="92"/>
      <c r="H37" s="118">
        <f>I60</f>
        <v>0</v>
      </c>
      <c r="I37" s="118">
        <f>J60</f>
        <v>0</v>
      </c>
      <c r="J37" s="118">
        <f>K60</f>
        <v>0</v>
      </c>
      <c r="K37" s="118">
        <f>L60</f>
        <v>0</v>
      </c>
      <c r="L37" s="118">
        <f>M60</f>
        <v>0</v>
      </c>
    </row>
    <row r="38" spans="2:12" x14ac:dyDescent="0.2">
      <c r="B38" t="s">
        <v>43</v>
      </c>
      <c r="C38" s="36"/>
      <c r="D38" s="45"/>
      <c r="E38" s="45"/>
      <c r="F38" s="45"/>
      <c r="G38" s="92"/>
      <c r="H38" s="117">
        <v>0.14810000000000001</v>
      </c>
      <c r="I38" s="117">
        <v>0.1623</v>
      </c>
      <c r="J38" s="117">
        <v>0.16339999999999999</v>
      </c>
      <c r="K38" s="117">
        <v>0.16309999999999999</v>
      </c>
      <c r="L38" s="117">
        <v>0.1613</v>
      </c>
    </row>
    <row r="39" spans="2:12" x14ac:dyDescent="0.2">
      <c r="B39" t="s">
        <v>257</v>
      </c>
      <c r="C39" s="36"/>
      <c r="D39" s="45"/>
      <c r="E39" s="45"/>
      <c r="F39" s="45"/>
      <c r="G39" s="92"/>
      <c r="H39" s="118">
        <v>0</v>
      </c>
      <c r="I39" s="118">
        <v>0</v>
      </c>
      <c r="J39" s="118">
        <v>0</v>
      </c>
      <c r="K39" s="118">
        <v>0</v>
      </c>
      <c r="L39" s="118">
        <v>0</v>
      </c>
    </row>
    <row r="40" spans="2:12" x14ac:dyDescent="0.2">
      <c r="B40" t="s">
        <v>46</v>
      </c>
      <c r="C40" s="36"/>
      <c r="D40" s="45"/>
      <c r="E40" s="45"/>
      <c r="F40" s="45"/>
      <c r="G40" s="92"/>
      <c r="H40" s="118">
        <v>0.11310000000000001</v>
      </c>
      <c r="I40" s="118">
        <v>0.11310000000000001</v>
      </c>
      <c r="J40" s="118">
        <v>0.11310000000000001</v>
      </c>
      <c r="K40" s="118">
        <v>0.11310000000000001</v>
      </c>
      <c r="L40" s="118">
        <v>0.11310000000000001</v>
      </c>
    </row>
    <row r="41" spans="2:12" x14ac:dyDescent="0.2">
      <c r="B41" t="s">
        <v>47</v>
      </c>
      <c r="C41" s="36"/>
      <c r="D41" s="45"/>
      <c r="E41" s="45"/>
      <c r="F41" s="45"/>
      <c r="G41" s="92"/>
      <c r="H41" s="118">
        <v>4.53E-2</v>
      </c>
      <c r="I41" s="118">
        <v>4.53E-2</v>
      </c>
      <c r="J41" s="118">
        <v>4.53E-2</v>
      </c>
      <c r="K41" s="118">
        <v>4.53E-2</v>
      </c>
      <c r="L41" s="118">
        <v>4.53E-2</v>
      </c>
    </row>
    <row r="42" spans="2:12" x14ac:dyDescent="0.2">
      <c r="B42" t="s">
        <v>48</v>
      </c>
      <c r="C42" s="36"/>
      <c r="D42" s="45"/>
      <c r="E42" s="45"/>
      <c r="F42" s="45"/>
      <c r="G42" s="92"/>
      <c r="H42" s="118">
        <v>0.1913</v>
      </c>
      <c r="I42" s="118">
        <v>0.1913</v>
      </c>
      <c r="J42" s="118">
        <v>0.1913</v>
      </c>
      <c r="K42" s="118">
        <v>0.1913</v>
      </c>
      <c r="L42" s="118">
        <v>0.1913</v>
      </c>
    </row>
    <row r="43" spans="2:12" x14ac:dyDescent="0.2">
      <c r="B43" t="s">
        <v>49</v>
      </c>
      <c r="C43" s="36"/>
      <c r="D43" s="45"/>
      <c r="E43" s="45"/>
      <c r="F43" s="45"/>
      <c r="G43" s="92"/>
      <c r="H43" s="118">
        <v>7.0199999999999999E-2</v>
      </c>
      <c r="I43" s="118">
        <v>7.0199999999999999E-2</v>
      </c>
      <c r="J43" s="118">
        <v>7.0199999999999999E-2</v>
      </c>
      <c r="K43" s="118">
        <v>7.0199999999999999E-2</v>
      </c>
      <c r="L43" s="118">
        <v>7.0199999999999999E-2</v>
      </c>
    </row>
    <row r="44" spans="2:12" x14ac:dyDescent="0.2">
      <c r="B44" t="s">
        <v>50</v>
      </c>
      <c r="C44" s="36"/>
      <c r="D44" s="45"/>
      <c r="E44" s="45"/>
      <c r="F44" s="45"/>
      <c r="G44" s="92"/>
      <c r="H44" s="118">
        <v>8.8999999999999996E-2</v>
      </c>
      <c r="I44" s="118">
        <v>8.8999999999999996E-2</v>
      </c>
      <c r="J44" s="118">
        <v>8.8999999999999996E-2</v>
      </c>
      <c r="K44" s="118">
        <v>8.8999999999999996E-2</v>
      </c>
      <c r="L44" s="118">
        <v>8.8999999999999996E-2</v>
      </c>
    </row>
    <row r="45" spans="2:12" x14ac:dyDescent="0.2">
      <c r="B45" t="s">
        <v>51</v>
      </c>
      <c r="C45" s="36"/>
      <c r="D45" s="45"/>
      <c r="E45" s="45"/>
      <c r="F45" s="45"/>
      <c r="G45" s="92"/>
      <c r="H45" s="118">
        <v>0.1265</v>
      </c>
      <c r="I45" s="118">
        <v>0.1265</v>
      </c>
      <c r="J45" s="118">
        <v>0.1265</v>
      </c>
      <c r="K45" s="118">
        <v>0.1265</v>
      </c>
      <c r="L45" s="118">
        <v>0.1265</v>
      </c>
    </row>
    <row r="46" spans="2:12" x14ac:dyDescent="0.2">
      <c r="B46" t="s">
        <v>52</v>
      </c>
      <c r="C46" s="36"/>
      <c r="D46" s="45"/>
      <c r="E46" s="45"/>
      <c r="F46" s="45"/>
      <c r="G46" s="92"/>
      <c r="H46" s="118">
        <v>0</v>
      </c>
      <c r="I46" s="118">
        <v>0</v>
      </c>
      <c r="J46" s="118">
        <v>0</v>
      </c>
      <c r="K46" s="118">
        <v>0</v>
      </c>
      <c r="L46" s="118">
        <v>0</v>
      </c>
    </row>
    <row r="47" spans="2:12" x14ac:dyDescent="0.2">
      <c r="C47" s="36"/>
      <c r="D47" s="36"/>
      <c r="E47" s="36"/>
      <c r="F47" s="36"/>
      <c r="G47" s="55"/>
      <c r="H47" s="93"/>
      <c r="I47" s="93"/>
      <c r="J47" s="93"/>
      <c r="K47" s="93"/>
      <c r="L47" s="93"/>
    </row>
    <row r="48" spans="2:12" x14ac:dyDescent="0.2">
      <c r="C48" s="36"/>
      <c r="D48" s="36"/>
      <c r="E48" s="36"/>
      <c r="F48" s="36"/>
      <c r="G48" s="55"/>
      <c r="H48" s="93"/>
      <c r="I48" s="93"/>
      <c r="J48" s="93"/>
      <c r="K48" s="93"/>
      <c r="L48" s="93"/>
    </row>
    <row r="49" spans="2:12" x14ac:dyDescent="0.2">
      <c r="C49" s="36"/>
      <c r="D49" s="36"/>
      <c r="E49" s="36"/>
      <c r="F49" s="36"/>
      <c r="G49" s="55"/>
      <c r="H49" s="94"/>
      <c r="I49" s="94"/>
      <c r="J49" s="94"/>
      <c r="K49" s="94"/>
      <c r="L49" s="94"/>
    </row>
    <row r="50" spans="2:12" x14ac:dyDescent="0.2">
      <c r="C50" s="36"/>
      <c r="D50" s="36"/>
      <c r="E50" s="36"/>
      <c r="F50" s="36"/>
      <c r="G50" s="55"/>
      <c r="H50" s="37"/>
      <c r="I50" s="37"/>
      <c r="J50" s="37"/>
      <c r="K50" s="37"/>
      <c r="L50" s="37"/>
    </row>
    <row r="51" spans="2:12" x14ac:dyDescent="0.2">
      <c r="C51" s="36"/>
      <c r="D51" s="36"/>
      <c r="E51" s="36"/>
      <c r="F51" s="36"/>
      <c r="G51" s="55"/>
      <c r="H51" s="37"/>
      <c r="I51" s="37"/>
      <c r="J51" s="37"/>
      <c r="K51" s="37"/>
      <c r="L51" s="37"/>
    </row>
    <row r="52" spans="2:12" x14ac:dyDescent="0.2">
      <c r="B52" s="375" t="s">
        <v>210</v>
      </c>
      <c r="C52" s="201"/>
      <c r="D52" s="201"/>
      <c r="E52" s="201"/>
      <c r="F52" s="201"/>
      <c r="G52" s="237"/>
      <c r="H52" s="202">
        <f>G58</f>
        <v>14128.56</v>
      </c>
      <c r="I52" s="202">
        <f>H58</f>
        <v>14043.766034303999</v>
      </c>
      <c r="J52" s="202">
        <f>I58</f>
        <v>13974.033118437264</v>
      </c>
      <c r="K52" s="202">
        <f>J58</f>
        <v>13932.584738804668</v>
      </c>
      <c r="L52" s="203">
        <f>K58</f>
        <v>13904.397726619593</v>
      </c>
    </row>
    <row r="53" spans="2:12" x14ac:dyDescent="0.2">
      <c r="B53" s="279" t="s">
        <v>220</v>
      </c>
      <c r="C53" s="36"/>
      <c r="D53" s="36"/>
      <c r="E53" s="36"/>
      <c r="F53" s="36"/>
      <c r="G53" s="55"/>
      <c r="H53" s="376">
        <f>H31</f>
        <v>5.5199999999999999E-2</v>
      </c>
      <c r="I53" s="376">
        <f>I31</f>
        <v>5.6300000000000003E-2</v>
      </c>
      <c r="J53" s="376">
        <f>J31</f>
        <v>5.7299999999999997E-2</v>
      </c>
      <c r="K53" s="376">
        <f>K31</f>
        <v>5.8299999999999998E-2</v>
      </c>
      <c r="L53" s="377">
        <f>L31</f>
        <v>5.8999999999999997E-2</v>
      </c>
    </row>
    <row r="54" spans="2:12" x14ac:dyDescent="0.2">
      <c r="B54" s="362" t="s">
        <v>221</v>
      </c>
      <c r="C54" s="95"/>
      <c r="D54" s="95"/>
      <c r="E54" s="95"/>
      <c r="F54" s="95"/>
      <c r="G54" s="96"/>
      <c r="H54" s="97">
        <f>H52*H53</f>
        <v>779.89651199999992</v>
      </c>
      <c r="I54" s="97">
        <f>I52*I53</f>
        <v>790.66402773131517</v>
      </c>
      <c r="J54" s="97">
        <f>J52*J53</f>
        <v>800.71209768645519</v>
      </c>
      <c r="K54" s="97">
        <f>K52*K53</f>
        <v>812.26969027231212</v>
      </c>
      <c r="L54" s="378">
        <f>L52*L53</f>
        <v>820.35946587055594</v>
      </c>
    </row>
    <row r="55" spans="2:12" x14ac:dyDescent="0.2">
      <c r="B55" s="379" t="s">
        <v>222</v>
      </c>
      <c r="C55" s="47"/>
      <c r="D55" s="47"/>
      <c r="E55" s="47"/>
      <c r="F55" s="47"/>
      <c r="G55" s="57"/>
      <c r="H55" s="48">
        <f>H52+H54</f>
        <v>14908.456511999999</v>
      </c>
      <c r="I55" s="48">
        <f>I52+I54</f>
        <v>14834.430062035313</v>
      </c>
      <c r="J55" s="48">
        <f>J52+J54</f>
        <v>14774.74521612372</v>
      </c>
      <c r="K55" s="48">
        <f>K52+K54</f>
        <v>14744.854429076981</v>
      </c>
      <c r="L55" s="217">
        <f>L52+L54</f>
        <v>14724.757192490148</v>
      </c>
    </row>
    <row r="56" spans="2:12" x14ac:dyDescent="0.2">
      <c r="B56" s="279" t="s">
        <v>223</v>
      </c>
      <c r="C56" s="36"/>
      <c r="D56" s="36"/>
      <c r="E56" s="36"/>
      <c r="F56" s="36"/>
      <c r="G56" s="55"/>
      <c r="H56" s="380">
        <v>5.8000000000000003E-2</v>
      </c>
      <c r="I56" s="380">
        <v>5.8000000000000003E-2</v>
      </c>
      <c r="J56" s="380">
        <v>5.7000000000000002E-2</v>
      </c>
      <c r="K56" s="380">
        <v>5.7000000000000002E-2</v>
      </c>
      <c r="L56" s="381">
        <v>5.6000000000000001E-2</v>
      </c>
    </row>
    <row r="57" spans="2:12" x14ac:dyDescent="0.2">
      <c r="B57" s="382" t="s">
        <v>224</v>
      </c>
      <c r="C57" s="42"/>
      <c r="D57" s="42"/>
      <c r="E57" s="42"/>
      <c r="F57" s="42"/>
      <c r="G57" s="56"/>
      <c r="H57" s="43">
        <f>H55*H56</f>
        <v>864.69047769600002</v>
      </c>
      <c r="I57" s="43">
        <f>I55*I56</f>
        <v>860.39694359804821</v>
      </c>
      <c r="J57" s="43">
        <f>J55*J56</f>
        <v>842.16047731905201</v>
      </c>
      <c r="K57" s="43">
        <f>K55*K56</f>
        <v>840.45670245738791</v>
      </c>
      <c r="L57" s="212">
        <f>L55*L56</f>
        <v>824.58640277944824</v>
      </c>
    </row>
    <row r="58" spans="2:12" x14ac:dyDescent="0.2">
      <c r="B58" s="382" t="s">
        <v>225</v>
      </c>
      <c r="C58" s="42">
        <f>'balance sheet1'!C23</f>
        <v>11386.29</v>
      </c>
      <c r="D58" s="42">
        <f>'balance sheet1'!D23</f>
        <v>10577.98</v>
      </c>
      <c r="E58" s="42">
        <f>'balance sheet1'!E23</f>
        <v>11336.28</v>
      </c>
      <c r="F58" s="42">
        <f>'balance sheet1'!F23</f>
        <v>13297.64</v>
      </c>
      <c r="G58" s="42">
        <f>'balance sheet1'!G23</f>
        <v>14128.56</v>
      </c>
      <c r="H58" s="43">
        <f>H55-H57</f>
        <v>14043.766034303999</v>
      </c>
      <c r="I58" s="43">
        <f>I55-I57</f>
        <v>13974.033118437264</v>
      </c>
      <c r="J58" s="43">
        <f>J55-J57</f>
        <v>13932.584738804668</v>
      </c>
      <c r="K58" s="43">
        <f>K55-K57</f>
        <v>13904.397726619593</v>
      </c>
      <c r="L58" s="212">
        <f>L55-L57</f>
        <v>13900.170789710699</v>
      </c>
    </row>
    <row r="59" spans="2:12" x14ac:dyDescent="0.2">
      <c r="C59" s="36"/>
      <c r="D59" s="36"/>
      <c r="E59" s="36"/>
      <c r="F59" s="36"/>
      <c r="G59" s="55"/>
      <c r="H59" s="37"/>
      <c r="I59" s="37"/>
      <c r="J59" s="37"/>
      <c r="K59" s="37"/>
      <c r="L59" s="37"/>
    </row>
    <row r="60" spans="2:12" x14ac:dyDescent="0.2">
      <c r="C60" s="36"/>
      <c r="D60" s="36"/>
      <c r="E60" s="36"/>
      <c r="F60" s="36"/>
      <c r="G60" s="55"/>
      <c r="H60" s="37"/>
      <c r="I60" s="37"/>
      <c r="J60" s="37"/>
      <c r="K60" s="37"/>
      <c r="L60" s="37"/>
    </row>
    <row r="61" spans="2:12" x14ac:dyDescent="0.2">
      <c r="B61" s="375" t="s">
        <v>226</v>
      </c>
      <c r="C61" s="201"/>
      <c r="D61" s="201"/>
      <c r="E61" s="201"/>
      <c r="F61" s="201"/>
      <c r="G61" s="237"/>
      <c r="H61" s="202">
        <f>G67</f>
        <v>2390.86</v>
      </c>
      <c r="I61" s="202">
        <f>H67</f>
        <v>2990.0095160000001</v>
      </c>
      <c r="J61" s="202">
        <f>I67</f>
        <v>3739.6049016612001</v>
      </c>
      <c r="K61" s="202">
        <f>J67</f>
        <v>4677.4978109978292</v>
      </c>
      <c r="L61" s="203">
        <f>K67</f>
        <v>5851.0820117771846</v>
      </c>
    </row>
    <row r="62" spans="2:12" x14ac:dyDescent="0.2">
      <c r="B62" s="279" t="s">
        <v>220</v>
      </c>
      <c r="C62" s="36"/>
      <c r="D62" s="36"/>
      <c r="E62" s="36"/>
      <c r="F62" s="36"/>
      <c r="G62" s="55"/>
      <c r="H62" s="383">
        <f>H35</f>
        <v>0.25059999999999999</v>
      </c>
      <c r="I62" s="383">
        <f>I35</f>
        <v>0.25069999999999998</v>
      </c>
      <c r="J62" s="383">
        <f>J35</f>
        <v>0.25080000000000002</v>
      </c>
      <c r="K62" s="383">
        <f>K35</f>
        <v>0.25090000000000001</v>
      </c>
      <c r="L62" s="384">
        <f>L35</f>
        <v>0.25109999999999999</v>
      </c>
    </row>
    <row r="63" spans="2:12" x14ac:dyDescent="0.2">
      <c r="B63" s="279" t="s">
        <v>221</v>
      </c>
      <c r="C63" s="36"/>
      <c r="D63" s="36"/>
      <c r="E63" s="36"/>
      <c r="F63" s="36"/>
      <c r="G63" s="55"/>
      <c r="H63" s="37">
        <f>H61*H62</f>
        <v>599.14951600000006</v>
      </c>
      <c r="I63" s="37">
        <f>I61*I62</f>
        <v>749.5953856612</v>
      </c>
      <c r="J63" s="37">
        <f>J61*J62</f>
        <v>937.89290933662903</v>
      </c>
      <c r="K63" s="37">
        <f>K61*K62</f>
        <v>1173.5842007793553</v>
      </c>
      <c r="L63" s="205">
        <f>L61*L62</f>
        <v>1469.206693157251</v>
      </c>
    </row>
    <row r="64" spans="2:12" x14ac:dyDescent="0.2">
      <c r="B64" s="385" t="s">
        <v>222</v>
      </c>
      <c r="C64" s="39"/>
      <c r="D64" s="39"/>
      <c r="E64" s="39"/>
      <c r="F64" s="39"/>
      <c r="G64" s="98"/>
      <c r="H64" s="40">
        <f>H61+H63</f>
        <v>2990.0095160000001</v>
      </c>
      <c r="I64" s="40">
        <f>I61+I63</f>
        <v>3739.6049016612001</v>
      </c>
      <c r="J64" s="40">
        <f>J61+J63</f>
        <v>4677.4978109978292</v>
      </c>
      <c r="K64" s="40">
        <f>K61+K63</f>
        <v>5851.0820117771846</v>
      </c>
      <c r="L64" s="207">
        <f>L61+L63</f>
        <v>7320.2887049344354</v>
      </c>
    </row>
    <row r="65" spans="2:12" x14ac:dyDescent="0.2">
      <c r="B65" s="279" t="s">
        <v>223</v>
      </c>
      <c r="C65" s="36"/>
      <c r="D65" s="36"/>
      <c r="E65" s="36"/>
      <c r="F65" s="36"/>
      <c r="G65" s="55"/>
      <c r="H65" s="386">
        <v>0</v>
      </c>
      <c r="I65" s="386">
        <v>0</v>
      </c>
      <c r="J65" s="386">
        <v>0</v>
      </c>
      <c r="K65" s="386">
        <v>0</v>
      </c>
      <c r="L65" s="387">
        <v>0</v>
      </c>
    </row>
    <row r="66" spans="2:12" x14ac:dyDescent="0.2">
      <c r="B66" s="279" t="s">
        <v>224</v>
      </c>
      <c r="C66" s="36"/>
      <c r="D66" s="36"/>
      <c r="E66" s="36"/>
      <c r="F66" s="36"/>
      <c r="G66" s="55"/>
      <c r="H66" s="37">
        <f>H64*H65</f>
        <v>0</v>
      </c>
      <c r="I66" s="37">
        <f>I64*I65</f>
        <v>0</v>
      </c>
      <c r="J66" s="37">
        <f>J64*J65</f>
        <v>0</v>
      </c>
      <c r="K66" s="37">
        <f>K64*K65</f>
        <v>0</v>
      </c>
      <c r="L66" s="205">
        <f>L64*L65</f>
        <v>0</v>
      </c>
    </row>
    <row r="67" spans="2:12" x14ac:dyDescent="0.2">
      <c r="B67" s="382" t="s">
        <v>225</v>
      </c>
      <c r="C67" s="42">
        <v>388.37</v>
      </c>
      <c r="D67" s="42">
        <v>1170.32</v>
      </c>
      <c r="E67" s="42">
        <v>2949.09</v>
      </c>
      <c r="F67" s="42">
        <v>2897.04</v>
      </c>
      <c r="G67" s="56">
        <v>2390.86</v>
      </c>
      <c r="H67" s="43">
        <f>H64-H66</f>
        <v>2990.0095160000001</v>
      </c>
      <c r="I67" s="43">
        <f>I64-I66</f>
        <v>3739.6049016612001</v>
      </c>
      <c r="J67" s="43">
        <f>J64-J66</f>
        <v>4677.4978109978292</v>
      </c>
      <c r="K67" s="43">
        <f>K64-K66</f>
        <v>5851.0820117771846</v>
      </c>
      <c r="L67" s="212">
        <f>L64-L66</f>
        <v>7320.2887049344354</v>
      </c>
    </row>
    <row r="68" spans="2:12" x14ac:dyDescent="0.2">
      <c r="C68" s="36"/>
      <c r="D68" s="36"/>
      <c r="E68" s="36"/>
      <c r="F68" s="36"/>
      <c r="G68" s="55"/>
      <c r="H68" s="37"/>
      <c r="I68" s="37"/>
      <c r="J68" s="37"/>
      <c r="K68" s="37"/>
      <c r="L68" s="37"/>
    </row>
    <row r="69" spans="2:12" x14ac:dyDescent="0.2">
      <c r="B69" s="375" t="s">
        <v>227</v>
      </c>
      <c r="C69" s="201"/>
      <c r="D69" s="201"/>
      <c r="E69" s="201"/>
      <c r="F69" s="201"/>
      <c r="G69" s="237"/>
      <c r="H69" s="202">
        <f>G75</f>
        <v>1157.33</v>
      </c>
      <c r="I69" s="202">
        <f>H75</f>
        <v>1099.4634999999998</v>
      </c>
      <c r="J69" s="202">
        <f>I75</f>
        <v>1044.4903249999998</v>
      </c>
      <c r="K69" s="202">
        <f>J75</f>
        <v>992.26580874999979</v>
      </c>
      <c r="L69" s="203">
        <f>K75</f>
        <v>942.65251831249975</v>
      </c>
    </row>
    <row r="70" spans="2:12" x14ac:dyDescent="0.2">
      <c r="B70" s="279" t="s">
        <v>220</v>
      </c>
      <c r="C70" s="36"/>
      <c r="D70" s="36"/>
      <c r="E70" s="36"/>
      <c r="F70" s="36"/>
      <c r="G70" s="55"/>
      <c r="H70" s="388">
        <f>H33</f>
        <v>0</v>
      </c>
      <c r="I70" s="388">
        <f>I33</f>
        <v>0</v>
      </c>
      <c r="J70" s="388">
        <f>J33</f>
        <v>0</v>
      </c>
      <c r="K70" s="388">
        <f>K33</f>
        <v>0</v>
      </c>
      <c r="L70" s="389">
        <f>L33</f>
        <v>0</v>
      </c>
    </row>
    <row r="71" spans="2:12" x14ac:dyDescent="0.2">
      <c r="B71" s="279" t="s">
        <v>221</v>
      </c>
      <c r="C71" s="36"/>
      <c r="D71" s="36"/>
      <c r="E71" s="36"/>
      <c r="F71" s="36"/>
      <c r="G71" s="55"/>
      <c r="H71" s="37">
        <f>H69*(H70)</f>
        <v>0</v>
      </c>
      <c r="I71" s="37">
        <f>I69*(I70)</f>
        <v>0</v>
      </c>
      <c r="J71" s="37">
        <f>J69*(J70)</f>
        <v>0</v>
      </c>
      <c r="K71" s="37">
        <f>K69*(K70)</f>
        <v>0</v>
      </c>
      <c r="L71" s="205">
        <f>L69*(L70)</f>
        <v>0</v>
      </c>
    </row>
    <row r="72" spans="2:12" x14ac:dyDescent="0.2">
      <c r="B72" s="385" t="s">
        <v>222</v>
      </c>
      <c r="C72" s="39"/>
      <c r="D72" s="39"/>
      <c r="E72" s="39"/>
      <c r="F72" s="39"/>
      <c r="G72" s="98"/>
      <c r="H72" s="40">
        <f>H69-H71</f>
        <v>1157.33</v>
      </c>
      <c r="I72" s="40">
        <f>I69+I71</f>
        <v>1099.4634999999998</v>
      </c>
      <c r="J72" s="40">
        <f>J69+J71</f>
        <v>1044.4903249999998</v>
      </c>
      <c r="K72" s="40">
        <f>K69+K71</f>
        <v>992.26580874999979</v>
      </c>
      <c r="L72" s="207">
        <f>L69+L71</f>
        <v>942.65251831249975</v>
      </c>
    </row>
    <row r="73" spans="2:12" x14ac:dyDescent="0.2">
      <c r="B73" s="279" t="s">
        <v>223</v>
      </c>
      <c r="C73" s="36"/>
      <c r="D73" s="36"/>
      <c r="E73" s="36"/>
      <c r="F73" s="36"/>
      <c r="G73" s="55"/>
      <c r="H73" s="386">
        <v>0.05</v>
      </c>
      <c r="I73" s="386">
        <v>0.05</v>
      </c>
      <c r="J73" s="386">
        <v>0.05</v>
      </c>
      <c r="K73" s="386">
        <v>0.05</v>
      </c>
      <c r="L73" s="387">
        <v>0.05</v>
      </c>
    </row>
    <row r="74" spans="2:12" x14ac:dyDescent="0.2">
      <c r="B74" s="279" t="s">
        <v>224</v>
      </c>
      <c r="C74" s="36"/>
      <c r="D74" s="36"/>
      <c r="E74" s="36"/>
      <c r="F74" s="36"/>
      <c r="G74" s="55"/>
      <c r="H74" s="37">
        <f>H72*H73</f>
        <v>57.866500000000002</v>
      </c>
      <c r="I74" s="37">
        <f>I72*I73</f>
        <v>54.973174999999998</v>
      </c>
      <c r="J74" s="37">
        <f>J72*J73</f>
        <v>52.224516249999994</v>
      </c>
      <c r="K74" s="37">
        <f>K72*K73</f>
        <v>49.613290437499991</v>
      </c>
      <c r="L74" s="205">
        <f>L72*L73</f>
        <v>47.132625915624992</v>
      </c>
    </row>
    <row r="75" spans="2:12" x14ac:dyDescent="0.2">
      <c r="B75" s="382" t="s">
        <v>225</v>
      </c>
      <c r="C75" s="42">
        <v>3646.78</v>
      </c>
      <c r="D75" s="42">
        <v>3962.98</v>
      </c>
      <c r="E75" s="42">
        <v>3360.22</v>
      </c>
      <c r="F75" s="42">
        <v>1936.44</v>
      </c>
      <c r="G75" s="56">
        <v>1157.33</v>
      </c>
      <c r="H75" s="43">
        <f>H72-H74</f>
        <v>1099.4634999999998</v>
      </c>
      <c r="I75" s="43">
        <f>I72-I74</f>
        <v>1044.4903249999998</v>
      </c>
      <c r="J75" s="43">
        <f>J72-J74</f>
        <v>992.26580874999979</v>
      </c>
      <c r="K75" s="43">
        <f>K72-K74</f>
        <v>942.65251831249975</v>
      </c>
      <c r="L75" s="212">
        <f>L72-L74</f>
        <v>895.51989239687475</v>
      </c>
    </row>
    <row r="76" spans="2:12" x14ac:dyDescent="0.2">
      <c r="C76" s="36"/>
      <c r="D76" s="36"/>
      <c r="E76" s="36"/>
      <c r="F76" s="36"/>
      <c r="G76" s="55"/>
      <c r="H76" s="37"/>
      <c r="I76" s="37"/>
      <c r="J76" s="37"/>
      <c r="K76" s="37"/>
      <c r="L76" s="37"/>
    </row>
    <row r="77" spans="2:12" x14ac:dyDescent="0.2">
      <c r="B77" s="375" t="s">
        <v>41</v>
      </c>
      <c r="C77" s="201"/>
      <c r="D77" s="201"/>
      <c r="E77" s="201"/>
      <c r="F77" s="201"/>
      <c r="G77" s="237"/>
      <c r="H77" s="202">
        <f>G83</f>
        <v>8348.48</v>
      </c>
      <c r="I77" s="202">
        <f>H83</f>
        <v>8348.48</v>
      </c>
      <c r="J77" s="202">
        <f>I83</f>
        <v>8348.48</v>
      </c>
      <c r="K77" s="202">
        <f>J83</f>
        <v>8348.48</v>
      </c>
      <c r="L77" s="203">
        <f>K83</f>
        <v>8348.48</v>
      </c>
    </row>
    <row r="78" spans="2:12" x14ac:dyDescent="0.2">
      <c r="B78" s="279" t="s">
        <v>220</v>
      </c>
      <c r="C78" s="36"/>
      <c r="D78" s="36"/>
      <c r="E78" s="36"/>
      <c r="F78" s="36"/>
      <c r="G78" s="55"/>
      <c r="H78" s="383">
        <f>H37</f>
        <v>0</v>
      </c>
      <c r="I78" s="383">
        <f>I37</f>
        <v>0</v>
      </c>
      <c r="J78" s="383">
        <f>J37</f>
        <v>0</v>
      </c>
      <c r="K78" s="383">
        <f>K37</f>
        <v>0</v>
      </c>
      <c r="L78" s="384">
        <f>L37</f>
        <v>0</v>
      </c>
    </row>
    <row r="79" spans="2:12" x14ac:dyDescent="0.2">
      <c r="B79" s="279" t="s">
        <v>221</v>
      </c>
      <c r="C79" s="36"/>
      <c r="D79" s="36"/>
      <c r="E79" s="36"/>
      <c r="F79" s="36"/>
      <c r="G79" s="55"/>
      <c r="H79" s="37">
        <f>H77*H78</f>
        <v>0</v>
      </c>
      <c r="I79" s="37">
        <f>I77*I78</f>
        <v>0</v>
      </c>
      <c r="J79" s="37">
        <f>J77*J78</f>
        <v>0</v>
      </c>
      <c r="K79" s="37">
        <f>K77*K78</f>
        <v>0</v>
      </c>
      <c r="L79" s="205">
        <f>L77*L78</f>
        <v>0</v>
      </c>
    </row>
    <row r="80" spans="2:12" x14ac:dyDescent="0.2">
      <c r="B80" s="385" t="s">
        <v>222</v>
      </c>
      <c r="C80" s="39"/>
      <c r="D80" s="39"/>
      <c r="E80" s="39"/>
      <c r="F80" s="39"/>
      <c r="G80" s="98"/>
      <c r="H80" s="40">
        <f>H77+H79</f>
        <v>8348.48</v>
      </c>
      <c r="I80" s="40">
        <f>I77+I79</f>
        <v>8348.48</v>
      </c>
      <c r="J80" s="40">
        <f>J77+J79</f>
        <v>8348.48</v>
      </c>
      <c r="K80" s="40">
        <f>K77+K79</f>
        <v>8348.48</v>
      </c>
      <c r="L80" s="207">
        <f>L77+L79</f>
        <v>8348.48</v>
      </c>
    </row>
    <row r="81" spans="2:12" x14ac:dyDescent="0.2">
      <c r="B81" s="279" t="s">
        <v>223</v>
      </c>
      <c r="C81" s="36"/>
      <c r="D81" s="36"/>
      <c r="E81" s="36"/>
      <c r="F81" s="36"/>
      <c r="G81" s="55"/>
      <c r="H81" s="99">
        <v>0</v>
      </c>
      <c r="I81" s="99">
        <v>0</v>
      </c>
      <c r="J81" s="99">
        <v>0</v>
      </c>
      <c r="K81" s="99">
        <v>0</v>
      </c>
      <c r="L81" s="390">
        <v>0</v>
      </c>
    </row>
    <row r="82" spans="2:12" x14ac:dyDescent="0.2">
      <c r="B82" s="279" t="s">
        <v>224</v>
      </c>
      <c r="C82" s="36"/>
      <c r="D82" s="36"/>
      <c r="E82" s="36"/>
      <c r="F82" s="36"/>
      <c r="G82" s="55"/>
      <c r="H82" s="37">
        <f>H80*H81</f>
        <v>0</v>
      </c>
      <c r="I82" s="37">
        <f>I80*I81</f>
        <v>0</v>
      </c>
      <c r="J82" s="37">
        <f>J80*J81</f>
        <v>0</v>
      </c>
      <c r="K82" s="37">
        <f>K80*K81</f>
        <v>0</v>
      </c>
      <c r="L82" s="205">
        <f>L80*L81</f>
        <v>0</v>
      </c>
    </row>
    <row r="83" spans="2:12" x14ac:dyDescent="0.2">
      <c r="B83" s="382" t="s">
        <v>225</v>
      </c>
      <c r="C83" s="42">
        <v>8066.96</v>
      </c>
      <c r="D83" s="42">
        <v>7685.17</v>
      </c>
      <c r="E83" s="42">
        <v>7798.65</v>
      </c>
      <c r="F83" s="42">
        <v>7800.88</v>
      </c>
      <c r="G83" s="56">
        <v>8348.48</v>
      </c>
      <c r="H83" s="43">
        <f>H80-H82</f>
        <v>8348.48</v>
      </c>
      <c r="I83" s="43">
        <f>I80-I82</f>
        <v>8348.48</v>
      </c>
      <c r="J83" s="43">
        <f>J80-J82</f>
        <v>8348.48</v>
      </c>
      <c r="K83" s="43">
        <f>K80-K82</f>
        <v>8348.48</v>
      </c>
      <c r="L83" s="212">
        <f>L80-L82</f>
        <v>8348.48</v>
      </c>
    </row>
    <row r="84" spans="2:12" x14ac:dyDescent="0.2">
      <c r="C84" s="36"/>
      <c r="D84" s="36"/>
      <c r="E84" s="36"/>
      <c r="F84" s="36"/>
      <c r="G84" s="55"/>
      <c r="H84" s="37"/>
      <c r="I84" s="37"/>
      <c r="J84" s="37"/>
      <c r="K84" s="37"/>
      <c r="L84" s="37"/>
    </row>
    <row r="85" spans="2:12" x14ac:dyDescent="0.2">
      <c r="B85" s="375" t="s">
        <v>211</v>
      </c>
      <c r="C85" s="201"/>
      <c r="D85" s="201"/>
      <c r="E85" s="201"/>
      <c r="F85" s="201"/>
      <c r="G85" s="237"/>
      <c r="H85" s="202">
        <f>G91</f>
        <v>17050.759999999998</v>
      </c>
      <c r="I85" s="202">
        <f>H91</f>
        <v>17050.759999999998</v>
      </c>
      <c r="J85" s="202">
        <f>I91</f>
        <v>17050.759999999998</v>
      </c>
      <c r="K85" s="202">
        <f>J91</f>
        <v>17050.759999999998</v>
      </c>
      <c r="L85" s="203">
        <f>K91</f>
        <v>17050.759999999998</v>
      </c>
    </row>
    <row r="86" spans="2:12" x14ac:dyDescent="0.2">
      <c r="B86" s="279" t="s">
        <v>220</v>
      </c>
      <c r="C86" s="36"/>
      <c r="D86" s="36"/>
      <c r="E86" s="36"/>
      <c r="F86" s="36"/>
      <c r="G86" s="55"/>
      <c r="H86" s="383">
        <f>H36</f>
        <v>0</v>
      </c>
      <c r="I86" s="383">
        <f>I36</f>
        <v>0</v>
      </c>
      <c r="J86" s="383">
        <f>J36</f>
        <v>0</v>
      </c>
      <c r="K86" s="383">
        <f>K36</f>
        <v>0</v>
      </c>
      <c r="L86" s="384">
        <f>L36</f>
        <v>0</v>
      </c>
    </row>
    <row r="87" spans="2:12" x14ac:dyDescent="0.2">
      <c r="B87" s="279" t="s">
        <v>221</v>
      </c>
      <c r="C87" s="36"/>
      <c r="D87" s="36"/>
      <c r="E87" s="36"/>
      <c r="F87" s="36"/>
      <c r="G87" s="55"/>
      <c r="H87" s="37">
        <f>H85*H86</f>
        <v>0</v>
      </c>
      <c r="I87" s="37">
        <f>I85*I86</f>
        <v>0</v>
      </c>
      <c r="J87" s="37">
        <f>J85*J86</f>
        <v>0</v>
      </c>
      <c r="K87" s="37">
        <f>K85*K86</f>
        <v>0</v>
      </c>
      <c r="L87" s="205">
        <f>L85*L86</f>
        <v>0</v>
      </c>
    </row>
    <row r="88" spans="2:12" x14ac:dyDescent="0.2">
      <c r="B88" s="385" t="s">
        <v>222</v>
      </c>
      <c r="C88" s="39"/>
      <c r="D88" s="39"/>
      <c r="E88" s="39"/>
      <c r="F88" s="39"/>
      <c r="G88" s="98"/>
      <c r="H88" s="40">
        <f>H85+H87</f>
        <v>17050.759999999998</v>
      </c>
      <c r="I88" s="40">
        <f>I85+I87</f>
        <v>17050.759999999998</v>
      </c>
      <c r="J88" s="40">
        <f>J85+J87</f>
        <v>17050.759999999998</v>
      </c>
      <c r="K88" s="40">
        <f>K85+K87</f>
        <v>17050.759999999998</v>
      </c>
      <c r="L88" s="207">
        <f>L85+L87</f>
        <v>17050.759999999998</v>
      </c>
    </row>
    <row r="89" spans="2:12" x14ac:dyDescent="0.2">
      <c r="B89" s="279" t="s">
        <v>223</v>
      </c>
      <c r="C89" s="36"/>
      <c r="D89" s="36"/>
      <c r="E89" s="36"/>
      <c r="F89" s="36"/>
      <c r="G89" s="55"/>
      <c r="H89" s="99">
        <f>H33</f>
        <v>0</v>
      </c>
      <c r="I89" s="99">
        <f>I33</f>
        <v>0</v>
      </c>
      <c r="J89" s="99">
        <f>J33</f>
        <v>0</v>
      </c>
      <c r="K89" s="99">
        <f>K33</f>
        <v>0</v>
      </c>
      <c r="L89" s="390">
        <f>L33</f>
        <v>0</v>
      </c>
    </row>
    <row r="90" spans="2:12" x14ac:dyDescent="0.2">
      <c r="B90" s="279" t="s">
        <v>224</v>
      </c>
      <c r="C90" s="36"/>
      <c r="D90" s="36"/>
      <c r="E90" s="36"/>
      <c r="F90" s="36"/>
      <c r="G90" s="55"/>
      <c r="H90" s="37">
        <f>H88*H89</f>
        <v>0</v>
      </c>
      <c r="I90" s="37">
        <f>I88*I89</f>
        <v>0</v>
      </c>
      <c r="J90" s="37">
        <f>J88*J89</f>
        <v>0</v>
      </c>
      <c r="K90" s="37">
        <f>K88*K89</f>
        <v>0</v>
      </c>
      <c r="L90" s="205">
        <f>L88*L89</f>
        <v>0</v>
      </c>
    </row>
    <row r="91" spans="2:12" x14ac:dyDescent="0.2">
      <c r="B91" s="382" t="s">
        <v>225</v>
      </c>
      <c r="C91" s="42">
        <v>19197.759999999998</v>
      </c>
      <c r="D91" s="42">
        <v>18729.37</v>
      </c>
      <c r="E91" s="42">
        <v>18007.98</v>
      </c>
      <c r="F91" s="42">
        <v>17384.52</v>
      </c>
      <c r="G91" s="56">
        <v>17050.759999999998</v>
      </c>
      <c r="H91" s="43">
        <f>H88-H90</f>
        <v>17050.759999999998</v>
      </c>
      <c r="I91" s="43">
        <f>I88-I90</f>
        <v>17050.759999999998</v>
      </c>
      <c r="J91" s="43">
        <f>J88-J90</f>
        <v>17050.759999999998</v>
      </c>
      <c r="K91" s="43">
        <f>K88-K90</f>
        <v>17050.759999999998</v>
      </c>
      <c r="L91" s="212">
        <f>L88-L90</f>
        <v>17050.759999999998</v>
      </c>
    </row>
    <row r="92" spans="2:12" x14ac:dyDescent="0.2">
      <c r="C92" s="36"/>
      <c r="D92" s="36"/>
      <c r="E92" s="36"/>
      <c r="F92" s="36"/>
      <c r="G92" s="55"/>
      <c r="H92" s="37"/>
      <c r="I92" s="37"/>
      <c r="J92" s="37"/>
      <c r="K92" s="37"/>
      <c r="L92" s="37"/>
    </row>
    <row r="93" spans="2:12" x14ac:dyDescent="0.2">
      <c r="B93" s="375" t="s">
        <v>213</v>
      </c>
      <c r="C93" s="201"/>
      <c r="D93" s="201"/>
      <c r="E93" s="201"/>
      <c r="F93" s="201"/>
      <c r="G93" s="237"/>
      <c r="H93" s="202">
        <f>G99</f>
        <v>2869.02</v>
      </c>
      <c r="I93" s="202">
        <f>H99</f>
        <v>2858.0270342777999</v>
      </c>
      <c r="J93" s="202">
        <f>I99</f>
        <v>2847.3224655025342</v>
      </c>
      <c r="K93" s="202">
        <f>J99</f>
        <v>2836.7969393836588</v>
      </c>
      <c r="L93" s="203">
        <f>K99</f>
        <v>2826.4820904003354</v>
      </c>
    </row>
    <row r="94" spans="2:12" x14ac:dyDescent="0.2">
      <c r="B94" s="279" t="s">
        <v>220</v>
      </c>
      <c r="C94" s="36"/>
      <c r="D94" s="36"/>
      <c r="E94" s="36"/>
      <c r="F94" s="36"/>
      <c r="G94" s="55"/>
      <c r="H94" s="383">
        <f>H34</f>
        <v>6.1899999999999997E-2</v>
      </c>
      <c r="I94" s="383">
        <f>I34</f>
        <v>6.1199999999999997E-2</v>
      </c>
      <c r="J94" s="383">
        <f>J34</f>
        <v>6.08E-2</v>
      </c>
      <c r="K94" s="383">
        <f>K34</f>
        <v>6.0299999999999999E-2</v>
      </c>
      <c r="L94" s="384">
        <f>L34</f>
        <v>5.9900000000000002E-2</v>
      </c>
    </row>
    <row r="95" spans="2:12" x14ac:dyDescent="0.2">
      <c r="B95" s="279" t="s">
        <v>221</v>
      </c>
      <c r="C95" s="36"/>
      <c r="D95" s="36"/>
      <c r="E95" s="36"/>
      <c r="F95" s="36"/>
      <c r="G95" s="55"/>
      <c r="H95" s="37">
        <f>H93*H94</f>
        <v>177.59233799999998</v>
      </c>
      <c r="I95" s="37">
        <f>I93*I94</f>
        <v>174.91125449780134</v>
      </c>
      <c r="J95" s="37">
        <f>J93*J94</f>
        <v>173.11720590255408</v>
      </c>
      <c r="K95" s="37">
        <f>K93*K94</f>
        <v>171.05885544483462</v>
      </c>
      <c r="L95" s="205">
        <f>L93*L94</f>
        <v>169.3062772149801</v>
      </c>
    </row>
    <row r="96" spans="2:12" x14ac:dyDescent="0.2">
      <c r="B96" s="385" t="s">
        <v>222</v>
      </c>
      <c r="C96" s="39"/>
      <c r="D96" s="39"/>
      <c r="E96" s="39"/>
      <c r="F96" s="39"/>
      <c r="G96" s="98"/>
      <c r="H96" s="40">
        <f>H93+H95</f>
        <v>3046.6123379999999</v>
      </c>
      <c r="I96" s="40">
        <f>I93+I95</f>
        <v>3032.938288775601</v>
      </c>
      <c r="J96" s="40">
        <f>J93+J95</f>
        <v>3020.4396714050881</v>
      </c>
      <c r="K96" s="40">
        <f>K93+K95</f>
        <v>3007.8557948284933</v>
      </c>
      <c r="L96" s="207">
        <f>L93+L95</f>
        <v>2995.7883676153156</v>
      </c>
    </row>
    <row r="97" spans="2:12" x14ac:dyDescent="0.2">
      <c r="B97" s="279" t="s">
        <v>223</v>
      </c>
      <c r="C97" s="36"/>
      <c r="D97" s="36"/>
      <c r="E97" s="36"/>
      <c r="F97" s="36"/>
      <c r="G97" s="55"/>
      <c r="H97" s="99">
        <f>H34</f>
        <v>6.1899999999999997E-2</v>
      </c>
      <c r="I97" s="99">
        <f>I34</f>
        <v>6.1199999999999997E-2</v>
      </c>
      <c r="J97" s="99">
        <f>J34</f>
        <v>6.08E-2</v>
      </c>
      <c r="K97" s="99">
        <f>K34</f>
        <v>6.0299999999999999E-2</v>
      </c>
      <c r="L97" s="390">
        <f>L34</f>
        <v>5.9900000000000002E-2</v>
      </c>
    </row>
    <row r="98" spans="2:12" x14ac:dyDescent="0.2">
      <c r="B98" s="279" t="s">
        <v>224</v>
      </c>
      <c r="C98" s="36"/>
      <c r="D98" s="36"/>
      <c r="E98" s="36"/>
      <c r="F98" s="36"/>
      <c r="G98" s="55"/>
      <c r="H98" s="37">
        <f>H96*H97</f>
        <v>188.5853037222</v>
      </c>
      <c r="I98" s="37">
        <f>I96*I97</f>
        <v>185.61582327306678</v>
      </c>
      <c r="J98" s="37">
        <f>J96*J97</f>
        <v>183.64273202142937</v>
      </c>
      <c r="K98" s="37">
        <f>K96*K97</f>
        <v>181.37370442815813</v>
      </c>
      <c r="L98" s="205">
        <f>L96*L97</f>
        <v>179.4477232201574</v>
      </c>
    </row>
    <row r="99" spans="2:12" x14ac:dyDescent="0.2">
      <c r="B99" s="382" t="s">
        <v>225</v>
      </c>
      <c r="C99" s="42">
        <v>2021.53</v>
      </c>
      <c r="D99" s="42">
        <v>1989.51</v>
      </c>
      <c r="E99" s="42">
        <v>2137.87</v>
      </c>
      <c r="F99" s="42">
        <v>2289.41</v>
      </c>
      <c r="G99" s="56">
        <v>2869.02</v>
      </c>
      <c r="H99" s="43">
        <f>H96-H98</f>
        <v>2858.0270342777999</v>
      </c>
      <c r="I99" s="43">
        <f>I96-I98</f>
        <v>2847.3224655025342</v>
      </c>
      <c r="J99" s="43">
        <f>J96-J98</f>
        <v>2836.7969393836588</v>
      </c>
      <c r="K99" s="43">
        <f>K96-K98</f>
        <v>2826.4820904003354</v>
      </c>
      <c r="L99" s="212">
        <f>L96-L98</f>
        <v>2816.3406443951581</v>
      </c>
    </row>
    <row r="100" spans="2:12" x14ac:dyDescent="0.2">
      <c r="C100" s="36"/>
      <c r="D100" s="36"/>
      <c r="E100" s="36"/>
      <c r="F100" s="36"/>
      <c r="G100" s="55"/>
      <c r="H100" s="37"/>
      <c r="I100" s="37"/>
      <c r="J100" s="37"/>
      <c r="K100" s="37"/>
      <c r="L100" s="37"/>
    </row>
    <row r="101" spans="2:12" x14ac:dyDescent="0.2">
      <c r="B101" s="375" t="s">
        <v>228</v>
      </c>
      <c r="C101" s="201"/>
      <c r="D101" s="201"/>
      <c r="E101" s="201"/>
      <c r="F101" s="201"/>
      <c r="G101" s="237"/>
      <c r="H101" s="202">
        <f>G107</f>
        <v>2318.42</v>
      </c>
      <c r="I101" s="202">
        <f>H107</f>
        <v>2318.42</v>
      </c>
      <c r="J101" s="202">
        <f>I107</f>
        <v>2318.42</v>
      </c>
      <c r="K101" s="202">
        <f>J107</f>
        <v>2318.42</v>
      </c>
      <c r="L101" s="203">
        <f>K107</f>
        <v>2318.42</v>
      </c>
    </row>
    <row r="102" spans="2:12" x14ac:dyDescent="0.2">
      <c r="B102" s="279" t="s">
        <v>220</v>
      </c>
      <c r="C102" s="36"/>
      <c r="D102" s="36"/>
      <c r="E102" s="36"/>
      <c r="F102" s="36"/>
      <c r="G102" s="55"/>
      <c r="H102" s="383">
        <f>H39</f>
        <v>0</v>
      </c>
      <c r="I102" s="383">
        <f>I39</f>
        <v>0</v>
      </c>
      <c r="J102" s="383">
        <f>J39</f>
        <v>0</v>
      </c>
      <c r="K102" s="383">
        <f>K39</f>
        <v>0</v>
      </c>
      <c r="L102" s="384">
        <f>L39</f>
        <v>0</v>
      </c>
    </row>
    <row r="103" spans="2:12" x14ac:dyDescent="0.2">
      <c r="B103" s="279" t="s">
        <v>221</v>
      </c>
      <c r="C103" s="36"/>
      <c r="D103" s="36"/>
      <c r="E103" s="36"/>
      <c r="F103" s="36"/>
      <c r="G103" s="55"/>
      <c r="H103" s="37">
        <f>H101*H102</f>
        <v>0</v>
      </c>
      <c r="I103" s="37">
        <f>I101*I102</f>
        <v>0</v>
      </c>
      <c r="J103" s="37">
        <f>J101*J102</f>
        <v>0</v>
      </c>
      <c r="K103" s="37">
        <f>K101*K102</f>
        <v>0</v>
      </c>
      <c r="L103" s="205">
        <f>L101*L102</f>
        <v>0</v>
      </c>
    </row>
    <row r="104" spans="2:12" x14ac:dyDescent="0.2">
      <c r="B104" s="385" t="s">
        <v>222</v>
      </c>
      <c r="C104" s="39"/>
      <c r="D104" s="39"/>
      <c r="E104" s="39"/>
      <c r="F104" s="39"/>
      <c r="G104" s="98"/>
      <c r="H104" s="40">
        <f>H101+H103</f>
        <v>2318.42</v>
      </c>
      <c r="I104" s="40">
        <f>I101+I103</f>
        <v>2318.42</v>
      </c>
      <c r="J104" s="40">
        <f>J101+J103</f>
        <v>2318.42</v>
      </c>
      <c r="K104" s="40">
        <f>K101+K103</f>
        <v>2318.42</v>
      </c>
      <c r="L104" s="207">
        <f>L101+L103</f>
        <v>2318.42</v>
      </c>
    </row>
    <row r="105" spans="2:12" x14ac:dyDescent="0.2">
      <c r="B105" s="279" t="s">
        <v>223</v>
      </c>
      <c r="C105" s="36"/>
      <c r="D105" s="36"/>
      <c r="E105" s="36"/>
      <c r="F105" s="36"/>
      <c r="G105" s="55"/>
      <c r="H105" s="99">
        <v>0</v>
      </c>
      <c r="I105" s="99">
        <v>0</v>
      </c>
      <c r="J105" s="99">
        <v>0</v>
      </c>
      <c r="K105" s="99">
        <v>0</v>
      </c>
      <c r="L105" s="390">
        <v>0</v>
      </c>
    </row>
    <row r="106" spans="2:12" x14ac:dyDescent="0.2">
      <c r="B106" s="279" t="s">
        <v>224</v>
      </c>
      <c r="C106" s="36"/>
      <c r="D106" s="36"/>
      <c r="E106" s="36"/>
      <c r="F106" s="36"/>
      <c r="G106" s="55"/>
      <c r="H106" s="37">
        <f>H104*H105</f>
        <v>0</v>
      </c>
      <c r="I106" s="37">
        <f>I104*I105</f>
        <v>0</v>
      </c>
      <c r="J106" s="37">
        <f>J104*J105</f>
        <v>0</v>
      </c>
      <c r="K106" s="37">
        <f>K104*K105</f>
        <v>0</v>
      </c>
      <c r="L106" s="205">
        <f>L104*L105</f>
        <v>0</v>
      </c>
    </row>
    <row r="107" spans="2:12" x14ac:dyDescent="0.2">
      <c r="B107" s="382" t="s">
        <v>225</v>
      </c>
      <c r="C107" s="42">
        <v>2670.26</v>
      </c>
      <c r="D107" s="42">
        <v>2521.16</v>
      </c>
      <c r="E107" s="42">
        <v>1304.8599999999999</v>
      </c>
      <c r="F107" s="42">
        <v>1264.25</v>
      </c>
      <c r="G107" s="56">
        <v>2318.42</v>
      </c>
      <c r="H107" s="43">
        <f>H104-H106</f>
        <v>2318.42</v>
      </c>
      <c r="I107" s="43">
        <f>I104-I106</f>
        <v>2318.42</v>
      </c>
      <c r="J107" s="43">
        <f>J104-J106</f>
        <v>2318.42</v>
      </c>
      <c r="K107" s="43">
        <f>K104-K106</f>
        <v>2318.42</v>
      </c>
      <c r="L107" s="212">
        <f>L104-L106</f>
        <v>2318.42</v>
      </c>
    </row>
    <row r="108" spans="2:12" x14ac:dyDescent="0.2">
      <c r="C108" s="36"/>
      <c r="D108" s="36"/>
      <c r="E108" s="36"/>
      <c r="F108" s="36"/>
      <c r="G108" s="55"/>
      <c r="H108" s="37"/>
      <c r="I108" s="37"/>
      <c r="J108" s="37"/>
      <c r="K108" s="37"/>
      <c r="L108" s="37"/>
    </row>
    <row r="109" spans="2:12" x14ac:dyDescent="0.2">
      <c r="B109" s="375" t="s">
        <v>214</v>
      </c>
      <c r="C109" s="201"/>
      <c r="D109" s="201"/>
      <c r="E109" s="201"/>
      <c r="F109" s="201"/>
      <c r="G109" s="237"/>
      <c r="H109" s="202">
        <f>G115</f>
        <v>9126.23</v>
      </c>
      <c r="I109" s="202">
        <f>H115</f>
        <v>10158.406612999999</v>
      </c>
      <c r="J109" s="202">
        <f>I115</f>
        <v>11307.322400930299</v>
      </c>
      <c r="K109" s="202">
        <f>J115</f>
        <v>12586.180564475517</v>
      </c>
      <c r="L109" s="203">
        <f>K115</f>
        <v>14009.677586317697</v>
      </c>
    </row>
    <row r="110" spans="2:12" x14ac:dyDescent="0.2">
      <c r="B110" s="279" t="s">
        <v>220</v>
      </c>
      <c r="C110" s="36"/>
      <c r="D110" s="36"/>
      <c r="E110" s="36"/>
      <c r="F110" s="36"/>
      <c r="G110" s="55"/>
      <c r="H110" s="383">
        <f>H40</f>
        <v>0.11310000000000001</v>
      </c>
      <c r="I110" s="383">
        <f>I40</f>
        <v>0.11310000000000001</v>
      </c>
      <c r="J110" s="383">
        <f>J40</f>
        <v>0.11310000000000001</v>
      </c>
      <c r="K110" s="383">
        <f>K40</f>
        <v>0.11310000000000001</v>
      </c>
      <c r="L110" s="384">
        <f>L40</f>
        <v>0.11310000000000001</v>
      </c>
    </row>
    <row r="111" spans="2:12" x14ac:dyDescent="0.2">
      <c r="B111" s="279" t="s">
        <v>221</v>
      </c>
      <c r="C111" s="36"/>
      <c r="D111" s="36"/>
      <c r="E111" s="36"/>
      <c r="F111" s="36"/>
      <c r="G111" s="55"/>
      <c r="H111" s="37">
        <f>H109*H110</f>
        <v>1032.1766130000001</v>
      </c>
      <c r="I111" s="37">
        <f>I109*I110</f>
        <v>1148.9157879303</v>
      </c>
      <c r="J111" s="37">
        <f>J109*J110</f>
        <v>1278.8581635452169</v>
      </c>
      <c r="K111" s="37">
        <f>K109*K110</f>
        <v>1423.4970218421811</v>
      </c>
      <c r="L111" s="205">
        <f>L109*L110</f>
        <v>1584.4945350125317</v>
      </c>
    </row>
    <row r="112" spans="2:12" x14ac:dyDescent="0.2">
      <c r="B112" s="385" t="s">
        <v>222</v>
      </c>
      <c r="C112" s="39"/>
      <c r="D112" s="39"/>
      <c r="E112" s="39"/>
      <c r="F112" s="39"/>
      <c r="G112" s="98"/>
      <c r="H112" s="40">
        <f>H109+H111</f>
        <v>10158.406612999999</v>
      </c>
      <c r="I112" s="40">
        <f>I109+I111</f>
        <v>11307.322400930299</v>
      </c>
      <c r="J112" s="40">
        <f>J109+J111</f>
        <v>12586.180564475517</v>
      </c>
      <c r="K112" s="40">
        <f>K109+K111</f>
        <v>14009.677586317697</v>
      </c>
      <c r="L112" s="207">
        <f>L109+L111</f>
        <v>15594.17212133023</v>
      </c>
    </row>
    <row r="113" spans="2:12" x14ac:dyDescent="0.2">
      <c r="B113" s="279" t="s">
        <v>223</v>
      </c>
      <c r="C113" s="36"/>
      <c r="D113" s="36"/>
      <c r="E113" s="36"/>
      <c r="F113" s="36"/>
      <c r="G113" s="55"/>
      <c r="H113" s="99">
        <v>0</v>
      </c>
      <c r="I113" s="99">
        <v>0</v>
      </c>
      <c r="J113" s="99">
        <v>0</v>
      </c>
      <c r="K113" s="99">
        <v>0</v>
      </c>
      <c r="L113" s="390">
        <v>0</v>
      </c>
    </row>
    <row r="114" spans="2:12" x14ac:dyDescent="0.2">
      <c r="B114" s="279" t="s">
        <v>224</v>
      </c>
      <c r="C114" s="36"/>
      <c r="D114" s="36"/>
      <c r="E114" s="36"/>
      <c r="F114" s="36"/>
      <c r="G114" s="55"/>
      <c r="H114" s="37">
        <f>H112*H113</f>
        <v>0</v>
      </c>
      <c r="I114" s="37">
        <f>I112*I113</f>
        <v>0</v>
      </c>
      <c r="J114" s="37">
        <f>J112*J113</f>
        <v>0</v>
      </c>
      <c r="K114" s="37">
        <f>K112*K113</f>
        <v>0</v>
      </c>
      <c r="L114" s="205">
        <f>L112*L113</f>
        <v>0</v>
      </c>
    </row>
    <row r="115" spans="2:12" x14ac:dyDescent="0.2">
      <c r="B115" s="382" t="s">
        <v>225</v>
      </c>
      <c r="C115" s="42">
        <v>5945.14</v>
      </c>
      <c r="D115" s="42">
        <v>7074.44</v>
      </c>
      <c r="E115" s="42">
        <v>7920.03</v>
      </c>
      <c r="F115" s="42">
        <v>9425.94</v>
      </c>
      <c r="G115" s="56">
        <v>9126.23</v>
      </c>
      <c r="H115" s="43">
        <f>H112-H114</f>
        <v>10158.406612999999</v>
      </c>
      <c r="I115" s="43">
        <f>I112-I114</f>
        <v>11307.322400930299</v>
      </c>
      <c r="J115" s="43">
        <f>J112-J114</f>
        <v>12586.180564475517</v>
      </c>
      <c r="K115" s="43">
        <f>K112-K114</f>
        <v>14009.677586317697</v>
      </c>
      <c r="L115" s="212">
        <f>L112-L114</f>
        <v>15594.17212133023</v>
      </c>
    </row>
    <row r="116" spans="2:12" x14ac:dyDescent="0.2">
      <c r="C116" s="36"/>
      <c r="D116" s="36"/>
      <c r="E116" s="36"/>
      <c r="F116" s="36"/>
      <c r="G116" s="55"/>
      <c r="H116" s="37"/>
      <c r="I116" s="37"/>
      <c r="J116" s="37"/>
      <c r="K116" s="37"/>
      <c r="L116" s="37"/>
    </row>
    <row r="117" spans="2:12" x14ac:dyDescent="0.2">
      <c r="B117" s="375" t="s">
        <v>229</v>
      </c>
      <c r="C117" s="201"/>
      <c r="D117" s="201"/>
      <c r="E117" s="201"/>
      <c r="F117" s="201"/>
      <c r="G117" s="237"/>
      <c r="H117" s="202">
        <f>G123</f>
        <v>62847.35</v>
      </c>
      <c r="I117" s="202">
        <f>H123</f>
        <v>65694.334954999998</v>
      </c>
      <c r="J117" s="202">
        <f>I123</f>
        <v>68670.288328461495</v>
      </c>
      <c r="K117" s="202">
        <f>J123</f>
        <v>71781.052389740798</v>
      </c>
      <c r="L117" s="203">
        <f>K123</f>
        <v>75032.734062996053</v>
      </c>
    </row>
    <row r="118" spans="2:12" x14ac:dyDescent="0.2">
      <c r="B118" s="279" t="s">
        <v>220</v>
      </c>
      <c r="C118" s="36"/>
      <c r="D118" s="36"/>
      <c r="E118" s="36"/>
      <c r="F118" s="36"/>
      <c r="G118" s="55"/>
      <c r="H118" s="383">
        <f>H41</f>
        <v>4.53E-2</v>
      </c>
      <c r="I118" s="383">
        <f>I41</f>
        <v>4.53E-2</v>
      </c>
      <c r="J118" s="383">
        <f>J41</f>
        <v>4.53E-2</v>
      </c>
      <c r="K118" s="383">
        <f>K41</f>
        <v>4.53E-2</v>
      </c>
      <c r="L118" s="384">
        <f>L41</f>
        <v>4.53E-2</v>
      </c>
    </row>
    <row r="119" spans="2:12" x14ac:dyDescent="0.2">
      <c r="B119" s="279" t="s">
        <v>221</v>
      </c>
      <c r="C119" s="36"/>
      <c r="D119" s="36"/>
      <c r="E119" s="36"/>
      <c r="F119" s="36"/>
      <c r="G119" s="55"/>
      <c r="H119" s="37">
        <f>H117*H118</f>
        <v>2846.9849549999999</v>
      </c>
      <c r="I119" s="37">
        <f>I117*I118</f>
        <v>2975.9533734614997</v>
      </c>
      <c r="J119" s="37">
        <f>J117*J118</f>
        <v>3110.7640612793057</v>
      </c>
      <c r="K119" s="37">
        <f>K117*K118</f>
        <v>3251.6816732552584</v>
      </c>
      <c r="L119" s="205">
        <f>L117*L118</f>
        <v>3398.9828530537211</v>
      </c>
    </row>
    <row r="120" spans="2:12" x14ac:dyDescent="0.2">
      <c r="B120" s="385" t="s">
        <v>222</v>
      </c>
      <c r="C120" s="39"/>
      <c r="D120" s="39"/>
      <c r="E120" s="39"/>
      <c r="F120" s="39"/>
      <c r="G120" s="98"/>
      <c r="H120" s="40">
        <f>H117+H119</f>
        <v>65694.334954999998</v>
      </c>
      <c r="I120" s="40">
        <f>I117+I119</f>
        <v>68670.288328461495</v>
      </c>
      <c r="J120" s="40">
        <f>J117+J119</f>
        <v>71781.052389740798</v>
      </c>
      <c r="K120" s="40">
        <f>K117+K119</f>
        <v>75032.734062996053</v>
      </c>
      <c r="L120" s="207">
        <f>L117+L119</f>
        <v>78431.716916049772</v>
      </c>
    </row>
    <row r="121" spans="2:12" x14ac:dyDescent="0.2">
      <c r="B121" s="279" t="s">
        <v>223</v>
      </c>
      <c r="C121" s="36"/>
      <c r="D121" s="36"/>
      <c r="E121" s="36"/>
      <c r="F121" s="36"/>
      <c r="G121" s="55"/>
      <c r="H121" s="99">
        <v>0</v>
      </c>
      <c r="I121" s="99">
        <v>0</v>
      </c>
      <c r="J121" s="99">
        <v>0</v>
      </c>
      <c r="K121" s="99">
        <v>0</v>
      </c>
      <c r="L121" s="390">
        <v>0</v>
      </c>
    </row>
    <row r="122" spans="2:12" x14ac:dyDescent="0.2">
      <c r="B122" s="279" t="s">
        <v>224</v>
      </c>
      <c r="C122" s="36"/>
      <c r="D122" s="36"/>
      <c r="E122" s="36"/>
      <c r="F122" s="36"/>
      <c r="G122" s="55"/>
      <c r="H122" s="37">
        <f>H120*H121</f>
        <v>0</v>
      </c>
      <c r="I122" s="37">
        <f>I120*I121</f>
        <v>0</v>
      </c>
      <c r="J122" s="37">
        <f>J120*J121</f>
        <v>0</v>
      </c>
      <c r="K122" s="37">
        <f>K120*K121</f>
        <v>0</v>
      </c>
      <c r="L122" s="205">
        <f>L120*L121</f>
        <v>0</v>
      </c>
    </row>
    <row r="123" spans="2:12" x14ac:dyDescent="0.2">
      <c r="B123" s="382" t="s">
        <v>225</v>
      </c>
      <c r="C123" s="42">
        <v>52631.67</v>
      </c>
      <c r="D123" s="42">
        <v>46736.84</v>
      </c>
      <c r="E123" s="42">
        <v>40920.92</v>
      </c>
      <c r="F123" s="42">
        <v>52154.76</v>
      </c>
      <c r="G123" s="56">
        <v>62847.35</v>
      </c>
      <c r="H123" s="43">
        <f>H120-H122</f>
        <v>65694.334954999998</v>
      </c>
      <c r="I123" s="43">
        <f>I120-I122</f>
        <v>68670.288328461495</v>
      </c>
      <c r="J123" s="43">
        <f>J120-J122</f>
        <v>71781.052389740798</v>
      </c>
      <c r="K123" s="43">
        <f>K120-K122</f>
        <v>75032.734062996053</v>
      </c>
      <c r="L123" s="212">
        <f>L120-L122</f>
        <v>78431.716916049772</v>
      </c>
    </row>
    <row r="124" spans="2:12" x14ac:dyDescent="0.2">
      <c r="C124" s="36"/>
      <c r="D124" s="36"/>
      <c r="E124" s="36"/>
      <c r="F124" s="36"/>
      <c r="G124" s="55"/>
      <c r="H124" s="37"/>
      <c r="I124" s="37"/>
      <c r="J124" s="37"/>
      <c r="K124" s="37"/>
      <c r="L124" s="37"/>
    </row>
    <row r="125" spans="2:12" x14ac:dyDescent="0.2">
      <c r="B125" s="375" t="s">
        <v>230</v>
      </c>
      <c r="C125" s="201"/>
      <c r="D125" s="201"/>
      <c r="E125" s="201"/>
      <c r="F125" s="201"/>
      <c r="G125" s="237"/>
      <c r="H125" s="202">
        <f>G131</f>
        <v>501.3</v>
      </c>
      <c r="I125" s="202">
        <f>H131</f>
        <v>501.3</v>
      </c>
      <c r="J125" s="202">
        <f>I131</f>
        <v>501.3</v>
      </c>
      <c r="K125" s="202">
        <f>J131</f>
        <v>501.3</v>
      </c>
      <c r="L125" s="203">
        <f>K131</f>
        <v>501.3</v>
      </c>
    </row>
    <row r="126" spans="2:12" x14ac:dyDescent="0.2">
      <c r="B126" s="279" t="s">
        <v>220</v>
      </c>
      <c r="C126" s="36"/>
      <c r="D126" s="36"/>
      <c r="E126" s="36"/>
      <c r="F126" s="36"/>
      <c r="G126" s="55"/>
      <c r="H126" s="383">
        <f>H36</f>
        <v>0</v>
      </c>
      <c r="I126" s="383">
        <f>I36</f>
        <v>0</v>
      </c>
      <c r="J126" s="383">
        <f>J36</f>
        <v>0</v>
      </c>
      <c r="K126" s="383">
        <f>K36</f>
        <v>0</v>
      </c>
      <c r="L126" s="384">
        <f>L36</f>
        <v>0</v>
      </c>
    </row>
    <row r="127" spans="2:12" x14ac:dyDescent="0.2">
      <c r="B127" s="279" t="s">
        <v>221</v>
      </c>
      <c r="C127" s="36"/>
      <c r="D127" s="36"/>
      <c r="E127" s="36"/>
      <c r="F127" s="36"/>
      <c r="G127" s="55"/>
      <c r="H127" s="37">
        <f>H125*H126</f>
        <v>0</v>
      </c>
      <c r="I127" s="37">
        <f>I125*I126</f>
        <v>0</v>
      </c>
      <c r="J127" s="37">
        <f>J125*J126</f>
        <v>0</v>
      </c>
      <c r="K127" s="37">
        <f>K125*K126</f>
        <v>0</v>
      </c>
      <c r="L127" s="205">
        <f>L125*L126</f>
        <v>0</v>
      </c>
    </row>
    <row r="128" spans="2:12" x14ac:dyDescent="0.2">
      <c r="B128" s="385" t="s">
        <v>222</v>
      </c>
      <c r="C128" s="39"/>
      <c r="D128" s="39"/>
      <c r="E128" s="39"/>
      <c r="F128" s="39"/>
      <c r="G128" s="98"/>
      <c r="H128" s="40">
        <f>H125+H127</f>
        <v>501.3</v>
      </c>
      <c r="I128" s="40">
        <f>I125+I127</f>
        <v>501.3</v>
      </c>
      <c r="J128" s="40">
        <f>J125+J127</f>
        <v>501.3</v>
      </c>
      <c r="K128" s="40">
        <f>K125+K127</f>
        <v>501.3</v>
      </c>
      <c r="L128" s="207">
        <f>L125+L127</f>
        <v>501.3</v>
      </c>
    </row>
    <row r="129" spans="2:12" x14ac:dyDescent="0.2">
      <c r="B129" s="279" t="s">
        <v>223</v>
      </c>
      <c r="C129" s="36"/>
      <c r="D129" s="36"/>
      <c r="E129" s="36"/>
      <c r="F129" s="36"/>
      <c r="G129" s="55"/>
      <c r="H129" s="99">
        <v>0</v>
      </c>
      <c r="I129" s="99">
        <v>0</v>
      </c>
      <c r="J129" s="99">
        <v>0</v>
      </c>
      <c r="K129" s="99">
        <v>0</v>
      </c>
      <c r="L129" s="390">
        <v>0</v>
      </c>
    </row>
    <row r="130" spans="2:12" x14ac:dyDescent="0.2">
      <c r="B130" s="279" t="s">
        <v>224</v>
      </c>
      <c r="C130" s="36"/>
      <c r="D130" s="36"/>
      <c r="E130" s="36"/>
      <c r="F130" s="36"/>
      <c r="G130" s="55"/>
      <c r="H130" s="37">
        <f>H128*H129</f>
        <v>0</v>
      </c>
      <c r="I130" s="37">
        <f>I128*I129</f>
        <v>0</v>
      </c>
      <c r="J130" s="37">
        <f>J128*J129</f>
        <v>0</v>
      </c>
      <c r="K130" s="37">
        <f>K128*K129</f>
        <v>0</v>
      </c>
      <c r="L130" s="205">
        <f>L128*L129</f>
        <v>0</v>
      </c>
    </row>
    <row r="131" spans="2:12" x14ac:dyDescent="0.2">
      <c r="B131" s="382" t="s">
        <v>225</v>
      </c>
      <c r="C131" s="42">
        <v>0</v>
      </c>
      <c r="D131" s="42">
        <v>0</v>
      </c>
      <c r="E131" s="42">
        <v>0</v>
      </c>
      <c r="F131" s="42">
        <v>254.93</v>
      </c>
      <c r="G131" s="56">
        <v>501.3</v>
      </c>
      <c r="H131" s="43">
        <f>H128-H130</f>
        <v>501.3</v>
      </c>
      <c r="I131" s="43">
        <f>I128-I130</f>
        <v>501.3</v>
      </c>
      <c r="J131" s="43">
        <f>J128-J130</f>
        <v>501.3</v>
      </c>
      <c r="K131" s="43">
        <f>K128-K130</f>
        <v>501.3</v>
      </c>
      <c r="L131" s="212">
        <f>L128-L130</f>
        <v>501.3</v>
      </c>
    </row>
    <row r="132" spans="2:12" x14ac:dyDescent="0.2">
      <c r="C132" s="36"/>
      <c r="D132" s="36"/>
      <c r="E132" s="36"/>
      <c r="F132" s="36"/>
      <c r="G132" s="55"/>
      <c r="H132" s="37"/>
      <c r="I132" s="37"/>
      <c r="J132" s="37"/>
      <c r="K132" s="37"/>
      <c r="L132" s="37"/>
    </row>
    <row r="133" spans="2:12" x14ac:dyDescent="0.2">
      <c r="B133" s="391" t="s">
        <v>212</v>
      </c>
      <c r="C133" s="201"/>
      <c r="D133" s="201"/>
      <c r="E133" s="201"/>
      <c r="F133" s="201"/>
      <c r="G133" s="237"/>
      <c r="H133" s="202">
        <f>G139</f>
        <v>197.82</v>
      </c>
      <c r="I133" s="202">
        <f>H139</f>
        <v>227.117142</v>
      </c>
      <c r="J133" s="202">
        <f>I139</f>
        <v>263.97825414660002</v>
      </c>
      <c r="K133" s="202">
        <f>J139</f>
        <v>307.11230087415447</v>
      </c>
      <c r="L133" s="203">
        <f>K139</f>
        <v>357.20231714672906</v>
      </c>
    </row>
    <row r="134" spans="2:12" x14ac:dyDescent="0.2">
      <c r="B134" s="279" t="s">
        <v>220</v>
      </c>
      <c r="C134" s="36"/>
      <c r="D134" s="36"/>
      <c r="E134" s="36"/>
      <c r="F134" s="36"/>
      <c r="G134" s="55"/>
      <c r="H134" s="392">
        <f>H38</f>
        <v>0.14810000000000001</v>
      </c>
      <c r="I134" s="392">
        <f>I38</f>
        <v>0.1623</v>
      </c>
      <c r="J134" s="392">
        <f>J38</f>
        <v>0.16339999999999999</v>
      </c>
      <c r="K134" s="392">
        <f>K38</f>
        <v>0.16309999999999999</v>
      </c>
      <c r="L134" s="393">
        <f>L38</f>
        <v>0.1613</v>
      </c>
    </row>
    <row r="135" spans="2:12" x14ac:dyDescent="0.2">
      <c r="B135" s="279" t="s">
        <v>221</v>
      </c>
      <c r="C135" s="36"/>
      <c r="D135" s="36"/>
      <c r="E135" s="36"/>
      <c r="F135" s="36"/>
      <c r="G135" s="55"/>
      <c r="H135" s="37">
        <f>H133*H134</f>
        <v>29.297142000000001</v>
      </c>
      <c r="I135" s="37">
        <f>I133*I134</f>
        <v>36.8611121466</v>
      </c>
      <c r="J135" s="37">
        <f>J133*J134</f>
        <v>43.134046727554441</v>
      </c>
      <c r="K135" s="37">
        <f>K133*K134</f>
        <v>50.090016272574594</v>
      </c>
      <c r="L135" s="205">
        <f>L133*L134</f>
        <v>57.616733755767399</v>
      </c>
    </row>
    <row r="136" spans="2:12" x14ac:dyDescent="0.2">
      <c r="B136" s="385" t="s">
        <v>222</v>
      </c>
      <c r="C136" s="39"/>
      <c r="D136" s="39"/>
      <c r="E136" s="39"/>
      <c r="F136" s="39"/>
      <c r="G136" s="98"/>
      <c r="H136" s="40">
        <f>H133+H135</f>
        <v>227.117142</v>
      </c>
      <c r="I136" s="40">
        <f>I133+I135</f>
        <v>263.97825414660002</v>
      </c>
      <c r="J136" s="40">
        <f>J133+J135</f>
        <v>307.11230087415447</v>
      </c>
      <c r="K136" s="40">
        <f>K133+K135</f>
        <v>357.20231714672906</v>
      </c>
      <c r="L136" s="207">
        <f>L133+L135</f>
        <v>414.81905090249643</v>
      </c>
    </row>
    <row r="137" spans="2:12" x14ac:dyDescent="0.2">
      <c r="B137" s="279" t="s">
        <v>223</v>
      </c>
      <c r="C137" s="36"/>
      <c r="D137" s="36"/>
      <c r="E137" s="36"/>
      <c r="F137" s="36"/>
      <c r="G137" s="55"/>
      <c r="H137" s="99">
        <v>0</v>
      </c>
      <c r="I137" s="99">
        <v>0</v>
      </c>
      <c r="J137" s="99">
        <v>0</v>
      </c>
      <c r="K137" s="99">
        <v>0</v>
      </c>
      <c r="L137" s="390">
        <v>0</v>
      </c>
    </row>
    <row r="138" spans="2:12" x14ac:dyDescent="0.2">
      <c r="B138" s="279" t="s">
        <v>224</v>
      </c>
      <c r="C138" s="36"/>
      <c r="D138" s="36"/>
      <c r="E138" s="36"/>
      <c r="F138" s="36"/>
      <c r="G138" s="55"/>
      <c r="H138" s="37">
        <f>H136*H137</f>
        <v>0</v>
      </c>
      <c r="I138" s="37">
        <f>I136*I137</f>
        <v>0</v>
      </c>
      <c r="J138" s="37">
        <f>J136*J137</f>
        <v>0</v>
      </c>
      <c r="K138" s="37">
        <f>K136*K137</f>
        <v>0</v>
      </c>
      <c r="L138" s="205">
        <f>L136*L137</f>
        <v>0</v>
      </c>
    </row>
    <row r="139" spans="2:12" x14ac:dyDescent="0.2">
      <c r="B139" s="382" t="s">
        <v>225</v>
      </c>
      <c r="C139" s="42">
        <v>112.02</v>
      </c>
      <c r="D139" s="42">
        <v>79.23</v>
      </c>
      <c r="E139" s="42">
        <v>116.48</v>
      </c>
      <c r="F139" s="42">
        <v>147.97</v>
      </c>
      <c r="G139" s="56">
        <v>197.82</v>
      </c>
      <c r="H139" s="43">
        <f>H136-H138</f>
        <v>227.117142</v>
      </c>
      <c r="I139" s="43">
        <f>I136-I138</f>
        <v>263.97825414660002</v>
      </c>
      <c r="J139" s="43">
        <f>J136-J138</f>
        <v>307.11230087415447</v>
      </c>
      <c r="K139" s="43">
        <f>K136-K138</f>
        <v>357.20231714672906</v>
      </c>
      <c r="L139" s="212">
        <f>L136-L138</f>
        <v>414.81905090249643</v>
      </c>
    </row>
    <row r="140" spans="2:12" x14ac:dyDescent="0.2">
      <c r="C140" s="36"/>
      <c r="D140" s="36"/>
      <c r="E140" s="36"/>
      <c r="F140" s="36"/>
      <c r="G140" s="55"/>
      <c r="H140" s="37"/>
      <c r="I140" s="37"/>
      <c r="J140" s="37"/>
      <c r="K140" s="37"/>
      <c r="L140" s="37"/>
    </row>
    <row r="141" spans="2:12" x14ac:dyDescent="0.2">
      <c r="B141" s="394" t="s">
        <v>215</v>
      </c>
      <c r="C141" s="201"/>
      <c r="D141" s="201"/>
      <c r="E141" s="201"/>
      <c r="F141" s="201"/>
      <c r="G141" s="237"/>
      <c r="H141" s="202">
        <f>G147</f>
        <v>348.96</v>
      </c>
      <c r="I141" s="202">
        <f>H147</f>
        <v>415.716048</v>
      </c>
      <c r="J141" s="202">
        <f>I147</f>
        <v>495.24252798240002</v>
      </c>
      <c r="K141" s="202">
        <f>J147</f>
        <v>589.98242358543314</v>
      </c>
      <c r="L141" s="203">
        <f>K147</f>
        <v>702.84606121732645</v>
      </c>
    </row>
    <row r="142" spans="2:12" x14ac:dyDescent="0.2">
      <c r="B142" s="279" t="s">
        <v>220</v>
      </c>
      <c r="C142" s="36"/>
      <c r="D142" s="36"/>
      <c r="E142" s="36"/>
      <c r="F142" s="36"/>
      <c r="G142" s="55"/>
      <c r="H142" s="383">
        <f>H42</f>
        <v>0.1913</v>
      </c>
      <c r="I142" s="383">
        <f>I42</f>
        <v>0.1913</v>
      </c>
      <c r="J142" s="383">
        <f>J42</f>
        <v>0.1913</v>
      </c>
      <c r="K142" s="383">
        <f>K42</f>
        <v>0.1913</v>
      </c>
      <c r="L142" s="384">
        <f>L42</f>
        <v>0.1913</v>
      </c>
    </row>
    <row r="143" spans="2:12" x14ac:dyDescent="0.2">
      <c r="B143" s="279" t="s">
        <v>221</v>
      </c>
      <c r="C143" s="36"/>
      <c r="D143" s="36"/>
      <c r="E143" s="36"/>
      <c r="F143" s="36"/>
      <c r="G143" s="55"/>
      <c r="H143" s="37">
        <f>H141*H142</f>
        <v>66.756047999999993</v>
      </c>
      <c r="I143" s="37">
        <f>I141*I142</f>
        <v>79.526479982400005</v>
      </c>
      <c r="J143" s="37">
        <f>J141*J142</f>
        <v>94.739895603033119</v>
      </c>
      <c r="K143" s="37">
        <f>K141*K142</f>
        <v>112.86363763189335</v>
      </c>
      <c r="L143" s="205">
        <f>L141*L142</f>
        <v>134.45445151087455</v>
      </c>
    </row>
    <row r="144" spans="2:12" x14ac:dyDescent="0.2">
      <c r="B144" s="385" t="s">
        <v>222</v>
      </c>
      <c r="C144" s="39"/>
      <c r="D144" s="39"/>
      <c r="E144" s="39"/>
      <c r="F144" s="39"/>
      <c r="G144" s="98"/>
      <c r="H144" s="40">
        <f>H141+H143</f>
        <v>415.716048</v>
      </c>
      <c r="I144" s="40">
        <f>I141+I143</f>
        <v>495.24252798240002</v>
      </c>
      <c r="J144" s="40">
        <f>J141+J143</f>
        <v>589.98242358543314</v>
      </c>
      <c r="K144" s="40">
        <f>K141+K143</f>
        <v>702.84606121732645</v>
      </c>
      <c r="L144" s="207">
        <f>L141+L143</f>
        <v>837.30051272820106</v>
      </c>
    </row>
    <row r="145" spans="2:12" x14ac:dyDescent="0.2">
      <c r="B145" s="279" t="s">
        <v>223</v>
      </c>
      <c r="C145" s="36"/>
      <c r="D145" s="36"/>
      <c r="E145" s="36"/>
      <c r="F145" s="36"/>
      <c r="G145" s="55"/>
      <c r="H145" s="99">
        <v>0</v>
      </c>
      <c r="I145" s="99">
        <v>0</v>
      </c>
      <c r="J145" s="99">
        <v>0</v>
      </c>
      <c r="K145" s="99">
        <v>0</v>
      </c>
      <c r="L145" s="390">
        <v>0</v>
      </c>
    </row>
    <row r="146" spans="2:12" x14ac:dyDescent="0.2">
      <c r="B146" s="279" t="s">
        <v>224</v>
      </c>
      <c r="C146" s="36"/>
      <c r="D146" s="36"/>
      <c r="E146" s="36"/>
      <c r="F146" s="36"/>
      <c r="G146" s="55"/>
      <c r="H146" s="37">
        <f>H144*H145</f>
        <v>0</v>
      </c>
      <c r="I146" s="37">
        <f>I144*I145</f>
        <v>0</v>
      </c>
      <c r="J146" s="37">
        <f>J144*J145</f>
        <v>0</v>
      </c>
      <c r="K146" s="37">
        <f>K144*K145</f>
        <v>0</v>
      </c>
      <c r="L146" s="205">
        <f>L144*L145</f>
        <v>0</v>
      </c>
    </row>
    <row r="147" spans="2:12" x14ac:dyDescent="0.2">
      <c r="B147" s="382" t="s">
        <v>225</v>
      </c>
      <c r="C147" s="42">
        <v>173.24</v>
      </c>
      <c r="D147" s="42">
        <v>284.54000000000002</v>
      </c>
      <c r="E147" s="42">
        <v>356</v>
      </c>
      <c r="F147" s="42">
        <v>475.46</v>
      </c>
      <c r="G147" s="56">
        <v>348.96</v>
      </c>
      <c r="H147" s="43">
        <f>H144-H146</f>
        <v>415.716048</v>
      </c>
      <c r="I147" s="43">
        <f>I144-I146</f>
        <v>495.24252798240002</v>
      </c>
      <c r="J147" s="43">
        <f>J144-J146</f>
        <v>589.98242358543314</v>
      </c>
      <c r="K147" s="43">
        <f>K144-K146</f>
        <v>702.84606121732645</v>
      </c>
      <c r="L147" s="212">
        <f>L144-L146</f>
        <v>837.30051272820106</v>
      </c>
    </row>
    <row r="148" spans="2:12" x14ac:dyDescent="0.2">
      <c r="C148" s="36"/>
      <c r="D148" s="36"/>
      <c r="E148" s="36"/>
      <c r="F148" s="36"/>
      <c r="G148" s="55"/>
      <c r="H148" s="37"/>
      <c r="I148" s="37"/>
      <c r="J148" s="37"/>
      <c r="K148" s="37"/>
      <c r="L148" s="37"/>
    </row>
    <row r="149" spans="2:12" x14ac:dyDescent="0.2">
      <c r="B149" s="358" t="s">
        <v>216</v>
      </c>
      <c r="C149" s="201"/>
      <c r="D149" s="201"/>
      <c r="E149" s="201"/>
      <c r="F149" s="201"/>
      <c r="G149" s="237"/>
      <c r="H149" s="202">
        <f>G155</f>
        <v>1863.04</v>
      </c>
      <c r="I149" s="202">
        <f>H155</f>
        <v>1993.8254079999999</v>
      </c>
      <c r="J149" s="202">
        <f>I155</f>
        <v>2133.7919516416</v>
      </c>
      <c r="K149" s="202">
        <f>J155</f>
        <v>2283.5841466468405</v>
      </c>
      <c r="L149" s="203">
        <f>K155</f>
        <v>2443.8917537414486</v>
      </c>
    </row>
    <row r="150" spans="2:12" x14ac:dyDescent="0.2">
      <c r="B150" s="279" t="s">
        <v>220</v>
      </c>
      <c r="C150" s="36"/>
      <c r="D150" s="36"/>
      <c r="E150" s="36"/>
      <c r="F150" s="36"/>
      <c r="G150" s="55"/>
      <c r="H150" s="383">
        <f>H43</f>
        <v>7.0199999999999999E-2</v>
      </c>
      <c r="I150" s="383">
        <f>I43</f>
        <v>7.0199999999999999E-2</v>
      </c>
      <c r="J150" s="383">
        <f>J43</f>
        <v>7.0199999999999999E-2</v>
      </c>
      <c r="K150" s="383">
        <f>K43</f>
        <v>7.0199999999999999E-2</v>
      </c>
      <c r="L150" s="384">
        <f>L43</f>
        <v>7.0199999999999999E-2</v>
      </c>
    </row>
    <row r="151" spans="2:12" x14ac:dyDescent="0.2">
      <c r="B151" s="279" t="s">
        <v>221</v>
      </c>
      <c r="C151" s="36"/>
      <c r="D151" s="36"/>
      <c r="E151" s="36"/>
      <c r="F151" s="36"/>
      <c r="G151" s="55"/>
      <c r="H151" s="37">
        <f>H149*H150</f>
        <v>130.78540799999999</v>
      </c>
      <c r="I151" s="37">
        <f>I149*I150</f>
        <v>139.9665436416</v>
      </c>
      <c r="J151" s="37">
        <f>J149*J150</f>
        <v>149.79219500524033</v>
      </c>
      <c r="K151" s="37">
        <f>K149*K150</f>
        <v>160.30760709460819</v>
      </c>
      <c r="L151" s="205">
        <f>L149*L150</f>
        <v>171.56120111264968</v>
      </c>
    </row>
    <row r="152" spans="2:12" x14ac:dyDescent="0.2">
      <c r="B152" s="385" t="s">
        <v>222</v>
      </c>
      <c r="C152" s="39"/>
      <c r="D152" s="39"/>
      <c r="E152" s="39"/>
      <c r="F152" s="39"/>
      <c r="G152" s="98"/>
      <c r="H152" s="40">
        <f>H149+H151</f>
        <v>1993.8254079999999</v>
      </c>
      <c r="I152" s="40">
        <f>I149+I151</f>
        <v>2133.7919516416</v>
      </c>
      <c r="J152" s="40">
        <f>J149+J151</f>
        <v>2283.5841466468405</v>
      </c>
      <c r="K152" s="40">
        <f>K149+K151</f>
        <v>2443.8917537414486</v>
      </c>
      <c r="L152" s="207">
        <f>L149+L151</f>
        <v>2615.4529548540982</v>
      </c>
    </row>
    <row r="153" spans="2:12" x14ac:dyDescent="0.2">
      <c r="B153" s="279" t="s">
        <v>223</v>
      </c>
      <c r="C153" s="36"/>
      <c r="D153" s="36"/>
      <c r="E153" s="36"/>
      <c r="F153" s="36"/>
      <c r="G153" s="55"/>
      <c r="H153" s="99">
        <v>0</v>
      </c>
      <c r="I153" s="99">
        <v>0</v>
      </c>
      <c r="J153" s="99">
        <v>0</v>
      </c>
      <c r="K153" s="99">
        <v>0</v>
      </c>
      <c r="L153" s="390">
        <v>0</v>
      </c>
    </row>
    <row r="154" spans="2:12" x14ac:dyDescent="0.2">
      <c r="B154" s="279" t="s">
        <v>224</v>
      </c>
      <c r="C154" s="36"/>
      <c r="D154" s="36"/>
      <c r="E154" s="36"/>
      <c r="F154" s="36"/>
      <c r="G154" s="55"/>
      <c r="H154" s="37">
        <f>H152*H153</f>
        <v>0</v>
      </c>
      <c r="I154" s="37">
        <f>I152*I153</f>
        <v>0</v>
      </c>
      <c r="J154" s="37">
        <f>J152*J153</f>
        <v>0</v>
      </c>
      <c r="K154" s="37">
        <f>K152*K153</f>
        <v>0</v>
      </c>
      <c r="L154" s="205">
        <f>L152*L153</f>
        <v>0</v>
      </c>
    </row>
    <row r="155" spans="2:12" x14ac:dyDescent="0.2">
      <c r="B155" s="382" t="s">
        <v>225</v>
      </c>
      <c r="C155" s="42">
        <v>1420.19</v>
      </c>
      <c r="D155" s="42">
        <v>2134.9</v>
      </c>
      <c r="E155" s="42">
        <v>1965.78</v>
      </c>
      <c r="F155" s="42">
        <v>1952.08</v>
      </c>
      <c r="G155" s="56">
        <v>1863.04</v>
      </c>
      <c r="H155" s="43">
        <f>H152-H154</f>
        <v>1993.8254079999999</v>
      </c>
      <c r="I155" s="43">
        <f>I152-I154</f>
        <v>2133.7919516416</v>
      </c>
      <c r="J155" s="43">
        <f>J152-J154</f>
        <v>2283.5841466468405</v>
      </c>
      <c r="K155" s="43">
        <f>K152-K154</f>
        <v>2443.8917537414486</v>
      </c>
      <c r="L155" s="212">
        <f>L152-L154</f>
        <v>2615.4529548540982</v>
      </c>
    </row>
    <row r="156" spans="2:12" x14ac:dyDescent="0.2">
      <c r="C156" s="36"/>
      <c r="D156" s="36"/>
      <c r="E156" s="36"/>
      <c r="F156" s="36"/>
      <c r="G156" s="55"/>
      <c r="H156" s="37"/>
      <c r="I156" s="37"/>
      <c r="J156" s="37"/>
      <c r="K156" s="37"/>
      <c r="L156" s="37"/>
    </row>
    <row r="157" spans="2:12" x14ac:dyDescent="0.2">
      <c r="B157" s="358" t="s">
        <v>217</v>
      </c>
      <c r="C157" s="201"/>
      <c r="D157" s="201"/>
      <c r="E157" s="201"/>
      <c r="F157" s="201"/>
      <c r="G157" s="237"/>
      <c r="H157" s="202">
        <f>G163</f>
        <v>3792.88</v>
      </c>
      <c r="I157" s="202">
        <f>H163</f>
        <v>3792.88</v>
      </c>
      <c r="J157" s="202">
        <f>I163</f>
        <v>3792.88</v>
      </c>
      <c r="K157" s="202">
        <f>J163</f>
        <v>3792.88</v>
      </c>
      <c r="L157" s="203">
        <f>K163</f>
        <v>3792.88</v>
      </c>
    </row>
    <row r="158" spans="2:12" x14ac:dyDescent="0.2">
      <c r="B158" s="279" t="s">
        <v>220</v>
      </c>
      <c r="C158" s="36"/>
      <c r="D158" s="36"/>
      <c r="E158" s="36"/>
      <c r="F158" s="36"/>
      <c r="G158" s="55"/>
      <c r="H158" s="383">
        <v>0</v>
      </c>
      <c r="I158" s="383">
        <v>0</v>
      </c>
      <c r="J158" s="383">
        <v>0</v>
      </c>
      <c r="K158" s="383">
        <v>0</v>
      </c>
      <c r="L158" s="384">
        <v>0</v>
      </c>
    </row>
    <row r="159" spans="2:12" x14ac:dyDescent="0.2">
      <c r="B159" s="279" t="s">
        <v>221</v>
      </c>
      <c r="C159" s="36"/>
      <c r="D159" s="36"/>
      <c r="E159" s="36"/>
      <c r="F159" s="36"/>
      <c r="G159" s="55"/>
      <c r="H159" s="37">
        <f>H157*H158</f>
        <v>0</v>
      </c>
      <c r="I159" s="37">
        <f>I157*I158</f>
        <v>0</v>
      </c>
      <c r="J159" s="37">
        <f>J157*J158</f>
        <v>0</v>
      </c>
      <c r="K159" s="37">
        <f>K157*K158</f>
        <v>0</v>
      </c>
      <c r="L159" s="205">
        <f>L157*L158</f>
        <v>0</v>
      </c>
    </row>
    <row r="160" spans="2:12" x14ac:dyDescent="0.2">
      <c r="B160" s="385" t="s">
        <v>222</v>
      </c>
      <c r="C160" s="39"/>
      <c r="D160" s="39"/>
      <c r="E160" s="39"/>
      <c r="F160" s="39"/>
      <c r="G160" s="98"/>
      <c r="H160" s="40">
        <f>H157+H159</f>
        <v>3792.88</v>
      </c>
      <c r="I160" s="40">
        <f>I157+I159</f>
        <v>3792.88</v>
      </c>
      <c r="J160" s="40">
        <f>J157+J159</f>
        <v>3792.88</v>
      </c>
      <c r="K160" s="40">
        <f>K157+K159</f>
        <v>3792.88</v>
      </c>
      <c r="L160" s="207">
        <f>L157+L159</f>
        <v>3792.88</v>
      </c>
    </row>
    <row r="161" spans="2:12" x14ac:dyDescent="0.2">
      <c r="B161" s="279" t="s">
        <v>223</v>
      </c>
      <c r="C161" s="36"/>
      <c r="D161" s="36"/>
      <c r="E161" s="36"/>
      <c r="F161" s="36"/>
      <c r="G161" s="55"/>
      <c r="H161" s="99">
        <v>0</v>
      </c>
      <c r="I161" s="99">
        <v>0</v>
      </c>
      <c r="J161" s="99">
        <v>0</v>
      </c>
      <c r="K161" s="99">
        <v>0</v>
      </c>
      <c r="L161" s="390">
        <v>0</v>
      </c>
    </row>
    <row r="162" spans="2:12" x14ac:dyDescent="0.2">
      <c r="B162" s="279" t="s">
        <v>224</v>
      </c>
      <c r="C162" s="36"/>
      <c r="D162" s="36"/>
      <c r="E162" s="36"/>
      <c r="F162" s="36"/>
      <c r="G162" s="55"/>
      <c r="H162" s="37">
        <f>H160*H161</f>
        <v>0</v>
      </c>
      <c r="I162" s="37">
        <f>I160*I161</f>
        <v>0</v>
      </c>
      <c r="J162" s="37">
        <f>J160*J161</f>
        <v>0</v>
      </c>
      <c r="K162" s="37">
        <f>K160*K161</f>
        <v>0</v>
      </c>
      <c r="L162" s="205">
        <f>L160*L161</f>
        <v>0</v>
      </c>
    </row>
    <row r="163" spans="2:12" x14ac:dyDescent="0.2">
      <c r="B163" s="382" t="s">
        <v>225</v>
      </c>
      <c r="C163" s="42">
        <v>2697</v>
      </c>
      <c r="D163" s="42">
        <v>2840.1</v>
      </c>
      <c r="E163" s="42">
        <v>3984.79</v>
      </c>
      <c r="F163" s="42">
        <v>3863.72</v>
      </c>
      <c r="G163" s="56">
        <v>3792.88</v>
      </c>
      <c r="H163" s="43">
        <f>H160-H162</f>
        <v>3792.88</v>
      </c>
      <c r="I163" s="43">
        <f>I160-I162</f>
        <v>3792.88</v>
      </c>
      <c r="J163" s="43">
        <f>J160-J162</f>
        <v>3792.88</v>
      </c>
      <c r="K163" s="43">
        <f>K160-K162</f>
        <v>3792.88</v>
      </c>
      <c r="L163" s="212">
        <f>L160-L162</f>
        <v>3792.88</v>
      </c>
    </row>
    <row r="164" spans="2:12" x14ac:dyDescent="0.2">
      <c r="C164" s="36"/>
      <c r="D164" s="36"/>
      <c r="E164" s="36"/>
      <c r="F164" s="36"/>
      <c r="G164" s="55"/>
      <c r="H164" s="37"/>
      <c r="I164" s="37"/>
      <c r="J164" s="37"/>
      <c r="K164" s="37"/>
      <c r="L164" s="37"/>
    </row>
    <row r="165" spans="2:12" x14ac:dyDescent="0.2">
      <c r="B165" s="358" t="s">
        <v>218</v>
      </c>
      <c r="C165" s="201"/>
      <c r="D165" s="201"/>
      <c r="E165" s="201"/>
      <c r="F165" s="201"/>
      <c r="G165" s="237"/>
      <c r="H165" s="202">
        <f>G171</f>
        <v>4581.6000000000004</v>
      </c>
      <c r="I165" s="202">
        <f>H171</f>
        <v>4581.6000000000004</v>
      </c>
      <c r="J165" s="202">
        <f>I171</f>
        <v>4581.6000000000004</v>
      </c>
      <c r="K165" s="202">
        <f>J171</f>
        <v>4581.6000000000004</v>
      </c>
      <c r="L165" s="203">
        <f>K171</f>
        <v>4581.6000000000004</v>
      </c>
    </row>
    <row r="166" spans="2:12" x14ac:dyDescent="0.2">
      <c r="B166" s="279" t="s">
        <v>220</v>
      </c>
      <c r="C166" s="36"/>
      <c r="D166" s="36"/>
      <c r="E166" s="36"/>
      <c r="F166" s="36"/>
      <c r="G166" s="55"/>
      <c r="H166" s="383">
        <v>0</v>
      </c>
      <c r="I166" s="383">
        <v>0</v>
      </c>
      <c r="J166" s="383">
        <v>0</v>
      </c>
      <c r="K166" s="383">
        <v>0</v>
      </c>
      <c r="L166" s="384">
        <v>0</v>
      </c>
    </row>
    <row r="167" spans="2:12" x14ac:dyDescent="0.2">
      <c r="B167" s="279" t="s">
        <v>221</v>
      </c>
      <c r="C167" s="36"/>
      <c r="D167" s="36"/>
      <c r="E167" s="36"/>
      <c r="F167" s="36"/>
      <c r="G167" s="55"/>
      <c r="H167" s="37">
        <f>H165*H166</f>
        <v>0</v>
      </c>
      <c r="I167" s="37">
        <f>I165*I166</f>
        <v>0</v>
      </c>
      <c r="J167" s="37">
        <f>J165*J166</f>
        <v>0</v>
      </c>
      <c r="K167" s="37">
        <f>K165*K166</f>
        <v>0</v>
      </c>
      <c r="L167" s="205">
        <f>L165*L166</f>
        <v>0</v>
      </c>
    </row>
    <row r="168" spans="2:12" x14ac:dyDescent="0.2">
      <c r="B168" s="385" t="s">
        <v>222</v>
      </c>
      <c r="C168" s="39"/>
      <c r="D168" s="39"/>
      <c r="E168" s="39"/>
      <c r="F168" s="39"/>
      <c r="G168" s="98"/>
      <c r="H168" s="40">
        <f>H165+H167</f>
        <v>4581.6000000000004</v>
      </c>
      <c r="I168" s="40">
        <f>I165+I167</f>
        <v>4581.6000000000004</v>
      </c>
      <c r="J168" s="40">
        <f>J165+J167</f>
        <v>4581.6000000000004</v>
      </c>
      <c r="K168" s="40">
        <f>K165+K167</f>
        <v>4581.6000000000004</v>
      </c>
      <c r="L168" s="207">
        <f>L165+L167</f>
        <v>4581.6000000000004</v>
      </c>
    </row>
    <row r="169" spans="2:12" x14ac:dyDescent="0.2">
      <c r="B169" s="279" t="s">
        <v>223</v>
      </c>
      <c r="C169" s="36"/>
      <c r="D169" s="36"/>
      <c r="E169" s="36"/>
      <c r="F169" s="36"/>
      <c r="G169" s="55"/>
      <c r="H169" s="99">
        <v>0</v>
      </c>
      <c r="I169" s="99">
        <v>0</v>
      </c>
      <c r="J169" s="99">
        <v>0</v>
      </c>
      <c r="K169" s="99">
        <v>0</v>
      </c>
      <c r="L169" s="390">
        <v>0</v>
      </c>
    </row>
    <row r="170" spans="2:12" x14ac:dyDescent="0.2">
      <c r="B170" s="279" t="s">
        <v>224</v>
      </c>
      <c r="C170" s="36"/>
      <c r="D170" s="36"/>
      <c r="E170" s="36"/>
      <c r="F170" s="36"/>
      <c r="G170" s="55"/>
      <c r="H170" s="37">
        <f>H168*H169</f>
        <v>0</v>
      </c>
      <c r="I170" s="37">
        <f>I168*I169</f>
        <v>0</v>
      </c>
      <c r="J170" s="37">
        <f>J168*J169</f>
        <v>0</v>
      </c>
      <c r="K170" s="37">
        <f>K168*K169</f>
        <v>0</v>
      </c>
      <c r="L170" s="205">
        <f>L168*L169</f>
        <v>0</v>
      </c>
    </row>
    <row r="171" spans="2:12" x14ac:dyDescent="0.2">
      <c r="B171" s="382" t="s">
        <v>225</v>
      </c>
      <c r="C171" s="42">
        <v>0</v>
      </c>
      <c r="D171" s="42">
        <v>0</v>
      </c>
      <c r="E171" s="42">
        <v>3611.66</v>
      </c>
      <c r="F171" s="42">
        <v>4245.78</v>
      </c>
      <c r="G171" s="56">
        <v>4581.6000000000004</v>
      </c>
      <c r="H171" s="43">
        <f>H168-H170</f>
        <v>4581.6000000000004</v>
      </c>
      <c r="I171" s="43">
        <f>I168-I170</f>
        <v>4581.6000000000004</v>
      </c>
      <c r="J171" s="43">
        <f>J168-J170</f>
        <v>4581.6000000000004</v>
      </c>
      <c r="K171" s="43">
        <f>K168-K170</f>
        <v>4581.6000000000004</v>
      </c>
      <c r="L171" s="212">
        <f>L168-L170</f>
        <v>4581.6000000000004</v>
      </c>
    </row>
    <row r="172" spans="2:12" x14ac:dyDescent="0.2">
      <c r="C172" s="36"/>
      <c r="D172" s="36"/>
      <c r="E172" s="36"/>
      <c r="F172" s="36"/>
      <c r="G172" s="55"/>
      <c r="H172" s="37"/>
      <c r="I172" s="37"/>
      <c r="J172" s="37"/>
      <c r="K172" s="37"/>
      <c r="L172" s="37"/>
    </row>
    <row r="173" spans="2:12" x14ac:dyDescent="0.2">
      <c r="B173" s="358" t="s">
        <v>219</v>
      </c>
      <c r="C173" s="201"/>
      <c r="D173" s="201"/>
      <c r="E173" s="201"/>
      <c r="F173" s="201"/>
      <c r="G173" s="237"/>
      <c r="H173" s="202">
        <f>G179</f>
        <v>2659.78</v>
      </c>
      <c r="I173" s="202">
        <f>H179</f>
        <v>2659.78</v>
      </c>
      <c r="J173" s="202">
        <f>I179</f>
        <v>2659.78</v>
      </c>
      <c r="K173" s="202">
        <f>J179</f>
        <v>2659.78</v>
      </c>
      <c r="L173" s="203">
        <f>K179</f>
        <v>2659.78</v>
      </c>
    </row>
    <row r="174" spans="2:12" x14ac:dyDescent="0.2">
      <c r="B174" s="279" t="s">
        <v>220</v>
      </c>
      <c r="C174" s="36"/>
      <c r="D174" s="36"/>
      <c r="E174" s="36"/>
      <c r="F174" s="36"/>
      <c r="G174" s="55"/>
      <c r="H174" s="383">
        <f>'bs drivers'!H46</f>
        <v>0</v>
      </c>
      <c r="I174" s="383">
        <f>'bs drivers'!I46</f>
        <v>0</v>
      </c>
      <c r="J174" s="383">
        <f>'bs drivers'!J46</f>
        <v>0</v>
      </c>
      <c r="K174" s="383">
        <f>'bs drivers'!K46</f>
        <v>0</v>
      </c>
      <c r="L174" s="384">
        <f>'bs drivers'!L46</f>
        <v>0</v>
      </c>
    </row>
    <row r="175" spans="2:12" x14ac:dyDescent="0.2">
      <c r="B175" s="279" t="s">
        <v>221</v>
      </c>
      <c r="C175" s="36"/>
      <c r="D175" s="36"/>
      <c r="E175" s="36"/>
      <c r="F175" s="36"/>
      <c r="G175" s="55"/>
      <c r="H175" s="37">
        <f>H173*H174</f>
        <v>0</v>
      </c>
      <c r="I175" s="37">
        <f>I173*I174</f>
        <v>0</v>
      </c>
      <c r="J175" s="37">
        <f>J173*J174</f>
        <v>0</v>
      </c>
      <c r="K175" s="37">
        <f>K173*K174</f>
        <v>0</v>
      </c>
      <c r="L175" s="205">
        <f>L173*L174</f>
        <v>0</v>
      </c>
    </row>
    <row r="176" spans="2:12" x14ac:dyDescent="0.2">
      <c r="B176" s="385" t="s">
        <v>222</v>
      </c>
      <c r="C176" s="39"/>
      <c r="D176" s="39"/>
      <c r="E176" s="39"/>
      <c r="F176" s="39"/>
      <c r="G176" s="98"/>
      <c r="H176" s="40">
        <f>H173+H175</f>
        <v>2659.78</v>
      </c>
      <c r="I176" s="40">
        <f>I173+I175</f>
        <v>2659.78</v>
      </c>
      <c r="J176" s="40">
        <f>J173+J175</f>
        <v>2659.78</v>
      </c>
      <c r="K176" s="40">
        <f>K173+K175</f>
        <v>2659.78</v>
      </c>
      <c r="L176" s="207">
        <f>L173+L175</f>
        <v>2659.78</v>
      </c>
    </row>
    <row r="177" spans="2:12" x14ac:dyDescent="0.2">
      <c r="B177" s="279" t="s">
        <v>223</v>
      </c>
      <c r="C177" s="36"/>
      <c r="D177" s="36"/>
      <c r="E177" s="36"/>
      <c r="F177" s="36"/>
      <c r="G177" s="55"/>
      <c r="H177" s="99">
        <v>0</v>
      </c>
      <c r="I177" s="99">
        <v>0</v>
      </c>
      <c r="J177" s="99">
        <v>0</v>
      </c>
      <c r="K177" s="99">
        <v>0</v>
      </c>
      <c r="L177" s="390">
        <v>0</v>
      </c>
    </row>
    <row r="178" spans="2:12" x14ac:dyDescent="0.2">
      <c r="B178" s="279" t="s">
        <v>224</v>
      </c>
      <c r="C178" s="36"/>
      <c r="D178" s="36"/>
      <c r="E178" s="36"/>
      <c r="F178" s="36"/>
      <c r="G178" s="55"/>
      <c r="H178" s="37">
        <f>H176*H177</f>
        <v>0</v>
      </c>
      <c r="I178" s="37">
        <f>I176*I177</f>
        <v>0</v>
      </c>
      <c r="J178" s="37">
        <f>J176*J177</f>
        <v>0</v>
      </c>
      <c r="K178" s="37">
        <f>K176*K177</f>
        <v>0</v>
      </c>
      <c r="L178" s="205">
        <f>L176*L177</f>
        <v>0</v>
      </c>
    </row>
    <row r="179" spans="2:12" x14ac:dyDescent="0.2">
      <c r="B179" s="382" t="s">
        <v>225</v>
      </c>
      <c r="C179" s="42">
        <v>5949.67</v>
      </c>
      <c r="D179" s="42">
        <v>6077.62</v>
      </c>
      <c r="E179" s="42">
        <v>2377.38</v>
      </c>
      <c r="F179" s="42">
        <v>2156.5500000000002</v>
      </c>
      <c r="G179" s="56">
        <v>2659.78</v>
      </c>
      <c r="H179" s="43">
        <f>H176-H178</f>
        <v>2659.78</v>
      </c>
      <c r="I179" s="43">
        <f>I176-I178</f>
        <v>2659.78</v>
      </c>
      <c r="J179" s="43">
        <f>J176-J178</f>
        <v>2659.78</v>
      </c>
      <c r="K179" s="43">
        <f>K176-K178</f>
        <v>2659.78</v>
      </c>
      <c r="L179" s="212">
        <f>L176-L178</f>
        <v>2659.78</v>
      </c>
    </row>
    <row r="180" spans="2:12" ht="15.75" thickBot="1" x14ac:dyDescent="0.25">
      <c r="C180" s="36"/>
      <c r="D180" s="36"/>
      <c r="E180" s="36"/>
      <c r="F180" s="36"/>
      <c r="G180" s="55"/>
      <c r="H180" s="37"/>
      <c r="I180" s="37"/>
      <c r="J180" s="37"/>
      <c r="K180" s="37"/>
      <c r="L180" s="37"/>
    </row>
    <row r="181" spans="2:12" x14ac:dyDescent="0.2">
      <c r="B181" s="395" t="s">
        <v>231</v>
      </c>
      <c r="C181" s="396">
        <f t="shared" ref="C181:L181" si="3">C63+C71+C103+C111+C119+C127+C135+C143+C151+C159+C167+C175</f>
        <v>0</v>
      </c>
      <c r="D181" s="396">
        <f t="shared" si="3"/>
        <v>0</v>
      </c>
      <c r="E181" s="396">
        <f t="shared" si="3"/>
        <v>0</v>
      </c>
      <c r="F181" s="396">
        <f t="shared" si="3"/>
        <v>0</v>
      </c>
      <c r="G181" s="397">
        <f t="shared" si="3"/>
        <v>0</v>
      </c>
      <c r="H181" s="398">
        <f t="shared" si="3"/>
        <v>4705.1496820000002</v>
      </c>
      <c r="I181" s="398">
        <f t="shared" si="3"/>
        <v>5130.8186828235994</v>
      </c>
      <c r="J181" s="398">
        <f t="shared" si="3"/>
        <v>5615.1812714969792</v>
      </c>
      <c r="K181" s="398">
        <f t="shared" si="3"/>
        <v>6172.0241568758711</v>
      </c>
      <c r="L181" s="399">
        <f t="shared" si="3"/>
        <v>6816.3164676027955</v>
      </c>
    </row>
    <row r="182" spans="2:12" x14ac:dyDescent="0.2">
      <c r="B182" s="400" t="s">
        <v>232</v>
      </c>
      <c r="C182" s="36">
        <f t="shared" ref="C182:L182" si="4">C79+C87+C95</f>
        <v>0</v>
      </c>
      <c r="D182" s="36">
        <f t="shared" si="4"/>
        <v>0</v>
      </c>
      <c r="E182" s="36">
        <f t="shared" si="4"/>
        <v>0</v>
      </c>
      <c r="F182" s="36">
        <f t="shared" si="4"/>
        <v>0</v>
      </c>
      <c r="G182" s="55">
        <f t="shared" si="4"/>
        <v>0</v>
      </c>
      <c r="H182" s="37">
        <f t="shared" si="4"/>
        <v>177.59233799999998</v>
      </c>
      <c r="I182" s="37">
        <f t="shared" si="4"/>
        <v>174.91125449780134</v>
      </c>
      <c r="J182" s="37">
        <f t="shared" si="4"/>
        <v>173.11720590255408</v>
      </c>
      <c r="K182" s="37">
        <f t="shared" si="4"/>
        <v>171.05885544483462</v>
      </c>
      <c r="L182" s="401">
        <f t="shared" si="4"/>
        <v>169.3062772149801</v>
      </c>
    </row>
    <row r="183" spans="2:12" x14ac:dyDescent="0.2">
      <c r="B183" s="400"/>
      <c r="C183" s="36"/>
      <c r="D183" s="36"/>
      <c r="E183" s="36"/>
      <c r="F183" s="36"/>
      <c r="G183" s="55"/>
      <c r="H183" s="37"/>
      <c r="I183" s="37"/>
      <c r="J183" s="37"/>
      <c r="K183" s="37"/>
      <c r="L183" s="401"/>
    </row>
    <row r="184" spans="2:12" x14ac:dyDescent="0.2">
      <c r="B184" s="400" t="s">
        <v>233</v>
      </c>
      <c r="C184" s="36">
        <f>C186-C185</f>
        <v>1997.74</v>
      </c>
      <c r="D184" s="36">
        <f>D186-D185</f>
        <v>2039.3599999999997</v>
      </c>
      <c r="E184" s="36">
        <f>E186-E185</f>
        <v>2874.25</v>
      </c>
      <c r="F184" s="36">
        <f>F186-F185</f>
        <v>2290.3000000000002</v>
      </c>
      <c r="G184" s="55">
        <f>G186-G185</f>
        <v>2609.6100000000006</v>
      </c>
      <c r="H184" s="37">
        <f>H57+H74</f>
        <v>922.55697769599999</v>
      </c>
      <c r="I184" s="37">
        <f>I57+I74</f>
        <v>915.37011859804818</v>
      </c>
      <c r="J184" s="37">
        <f>J57+J74</f>
        <v>894.38499356905197</v>
      </c>
      <c r="K184" s="37">
        <f>K57+K74</f>
        <v>890.06999289488795</v>
      </c>
      <c r="L184" s="401">
        <f>L57+L74</f>
        <v>871.71902869507323</v>
      </c>
    </row>
    <row r="185" spans="2:12" x14ac:dyDescent="0.2">
      <c r="B185" s="400" t="s">
        <v>234</v>
      </c>
      <c r="C185" s="36">
        <v>906.47</v>
      </c>
      <c r="D185" s="36">
        <v>908.59</v>
      </c>
      <c r="E185" s="36">
        <v>628</v>
      </c>
      <c r="F185" s="36">
        <v>1392.03</v>
      </c>
      <c r="G185" s="55">
        <v>1511.57</v>
      </c>
      <c r="H185" s="37">
        <f>H98+H90</f>
        <v>188.5853037222</v>
      </c>
      <c r="I185" s="37">
        <f>I98+I90</f>
        <v>185.61582327306678</v>
      </c>
      <c r="J185" s="37">
        <f>J98+J90</f>
        <v>183.64273202142937</v>
      </c>
      <c r="K185" s="37">
        <f>K98+K90</f>
        <v>181.37370442815813</v>
      </c>
      <c r="L185" s="401">
        <f>L98+L90</f>
        <v>179.4477232201574</v>
      </c>
    </row>
    <row r="186" spans="2:12" ht="15.75" thickBot="1" x14ac:dyDescent="0.25">
      <c r="B186" s="402" t="s">
        <v>235</v>
      </c>
      <c r="C186" s="403">
        <v>2904.21</v>
      </c>
      <c r="D186" s="403">
        <v>2947.95</v>
      </c>
      <c r="E186" s="403">
        <v>3502.25</v>
      </c>
      <c r="F186" s="403">
        <v>3682.33</v>
      </c>
      <c r="G186" s="404">
        <v>4121.18</v>
      </c>
      <c r="H186" s="405">
        <f>SUM(H184:H185)</f>
        <v>1111.1422814181999</v>
      </c>
      <c r="I186" s="405">
        <f>SUM(I184:I185)</f>
        <v>1100.9859418711148</v>
      </c>
      <c r="J186" s="405">
        <f>SUM(J184:J185)</f>
        <v>1078.0277255904814</v>
      </c>
      <c r="K186" s="405">
        <f>SUM(K184:K185)</f>
        <v>1071.4436973230461</v>
      </c>
      <c r="L186" s="406">
        <f>SUM(L184:L185)</f>
        <v>1051.1667519152306</v>
      </c>
    </row>
    <row r="187" spans="2:12" x14ac:dyDescent="0.2">
      <c r="B187" s="100"/>
      <c r="C187" s="60"/>
      <c r="D187" s="60"/>
      <c r="E187" s="60"/>
      <c r="F187" s="60"/>
      <c r="G187" s="61"/>
      <c r="H187" s="62"/>
      <c r="I187" s="62"/>
      <c r="J187" s="62"/>
      <c r="K187" s="62"/>
      <c r="L187" s="62"/>
    </row>
    <row r="188" spans="2:12" x14ac:dyDescent="0.2">
      <c r="B188" s="63" t="s">
        <v>236</v>
      </c>
      <c r="C188" s="60"/>
      <c r="D188" s="60"/>
      <c r="E188" s="60"/>
      <c r="F188" s="60"/>
      <c r="G188" s="61"/>
      <c r="H188" s="62"/>
      <c r="I188" s="62"/>
      <c r="J188" s="62"/>
      <c r="K188" s="62"/>
      <c r="L188" s="62"/>
    </row>
    <row r="189" spans="2:12" x14ac:dyDescent="0.2">
      <c r="B189" s="38" t="s">
        <v>73</v>
      </c>
      <c r="C189" s="60">
        <f>'balance sheet1'!C47</f>
        <v>27765.83</v>
      </c>
      <c r="D189" s="60">
        <f>'balance sheet1'!D47</f>
        <v>30476.959999999999</v>
      </c>
      <c r="E189" s="60">
        <f>'balance sheet1'!E47</f>
        <v>30896.32</v>
      </c>
      <c r="F189" s="60">
        <f>'balance sheet1'!F47</f>
        <v>27834.27</v>
      </c>
      <c r="G189" s="60">
        <f>'balance sheet1'!G47</f>
        <v>35861.300000000003</v>
      </c>
      <c r="H189" s="62">
        <f>H190*H191</f>
        <v>41072.510221820987</v>
      </c>
      <c r="I189" s="62">
        <f>I190*I191</f>
        <v>47144.217814931581</v>
      </c>
      <c r="J189" s="62">
        <f>J190*J191</f>
        <v>54221.036622919222</v>
      </c>
      <c r="K189" s="62">
        <f>K190*K191</f>
        <v>62472.174497399814</v>
      </c>
      <c r="L189" s="62">
        <f>L190*L191</f>
        <v>72095.64874640631</v>
      </c>
    </row>
    <row r="190" spans="2:12" x14ac:dyDescent="0.2">
      <c r="B190" s="38" t="s">
        <v>237</v>
      </c>
      <c r="C190" s="60">
        <f>'income statement'!C14</f>
        <v>41345.07</v>
      </c>
      <c r="D190" s="60">
        <f>'income statement'!D14</f>
        <v>44517.96</v>
      </c>
      <c r="E190" s="60">
        <f>'income statement'!E14</f>
        <v>51998.590000000004</v>
      </c>
      <c r="F190" s="60">
        <f>'income statement'!F14</f>
        <v>57305.34</v>
      </c>
      <c r="G190" s="60">
        <f>'income statement'!G14</f>
        <v>64629.04</v>
      </c>
      <c r="H190" s="62">
        <f>'income statement'!H14</f>
        <v>74020.654745546795</v>
      </c>
      <c r="I190" s="62">
        <f>'income statement'!I14</f>
        <v>84963.05317793625</v>
      </c>
      <c r="J190" s="62">
        <f>'income statement'!J14</f>
        <v>97716.857580291602</v>
      </c>
      <c r="K190" s="62">
        <f>'income statement'!K14</f>
        <v>112587.01342336815</v>
      </c>
      <c r="L190" s="62">
        <f>'income statement'!L14</f>
        <v>129930.38642373374</v>
      </c>
    </row>
    <row r="191" spans="2:12" x14ac:dyDescent="0.2">
      <c r="B191" s="38" t="s">
        <v>238</v>
      </c>
      <c r="C191" s="86">
        <f>C189/C190</f>
        <v>0.67156326014201939</v>
      </c>
      <c r="D191" s="86">
        <f>D189/D190</f>
        <v>0.68459920445590949</v>
      </c>
      <c r="E191" s="86">
        <f>E189/E190</f>
        <v>0.59417611131378745</v>
      </c>
      <c r="F191" s="86">
        <f>F189/F190</f>
        <v>0.48571860842288</v>
      </c>
      <c r="G191" s="86">
        <f>G189/G190</f>
        <v>0.55487904508561481</v>
      </c>
      <c r="H191" s="88">
        <f>G191</f>
        <v>0.55487904508561481</v>
      </c>
      <c r="I191" s="88">
        <f>H191</f>
        <v>0.55487904508561481</v>
      </c>
      <c r="J191" s="88">
        <f>I191</f>
        <v>0.55487904508561481</v>
      </c>
      <c r="K191" s="88">
        <f>J191</f>
        <v>0.55487904508561481</v>
      </c>
      <c r="L191" s="88">
        <f>K191</f>
        <v>0.55487904508561481</v>
      </c>
    </row>
    <row r="192" spans="2:12" x14ac:dyDescent="0.2">
      <c r="B192" s="38"/>
      <c r="C192" s="60"/>
      <c r="D192" s="60"/>
      <c r="E192" s="60"/>
      <c r="F192" s="60"/>
      <c r="G192" s="61"/>
      <c r="H192" s="62"/>
      <c r="I192" s="62"/>
      <c r="J192" s="62"/>
      <c r="K192" s="62"/>
      <c r="L192" s="62"/>
    </row>
    <row r="193" spans="2:12" x14ac:dyDescent="0.2">
      <c r="B193" s="41" t="s">
        <v>81</v>
      </c>
      <c r="C193" s="60">
        <f>'balance sheet1'!C48</f>
        <v>22719.39</v>
      </c>
      <c r="D193" s="60">
        <f>'balance sheet1'!D48</f>
        <v>31372.959999999999</v>
      </c>
      <c r="E193" s="60">
        <f>'balance sheet1'!E48</f>
        <v>26399.38</v>
      </c>
      <c r="F193" s="60">
        <f>'balance sheet1'!F48</f>
        <v>29698.53</v>
      </c>
      <c r="G193" s="60">
        <f>'balance sheet1'!G48</f>
        <v>36194.699999999997</v>
      </c>
      <c r="H193" s="62">
        <f>H194*H195</f>
        <v>27517.138909246867</v>
      </c>
      <c r="I193" s="62">
        <f>I194*I195</f>
        <v>22358.365804377423</v>
      </c>
      <c r="J193" s="62">
        <f>J194*J195</f>
        <v>14933.486837388269</v>
      </c>
      <c r="K193" s="62">
        <f>K194*K195</f>
        <v>7709.4447574638625</v>
      </c>
      <c r="L193" s="62">
        <f>L194*L195</f>
        <v>0</v>
      </c>
    </row>
    <row r="194" spans="2:12" x14ac:dyDescent="0.2">
      <c r="B194" s="41" t="s">
        <v>239</v>
      </c>
      <c r="C194" s="60">
        <f>'balance sheet1'!C64</f>
        <v>82120.039999999994</v>
      </c>
      <c r="D194" s="60">
        <f>'balance sheet1'!D64</f>
        <v>61618.31</v>
      </c>
      <c r="E194" s="60">
        <f>'balance sheet1'!E64</f>
        <v>61217.68</v>
      </c>
      <c r="F194" s="60">
        <f>'balance sheet1'!F64</f>
        <v>56506.97</v>
      </c>
      <c r="G194" s="60">
        <f>'balance sheet1'!G64</f>
        <v>57503.34</v>
      </c>
      <c r="H194" s="119">
        <v>58002.671999999999</v>
      </c>
      <c r="I194" s="119">
        <v>43502.004000000001</v>
      </c>
      <c r="J194" s="119">
        <v>29001.336000000003</v>
      </c>
      <c r="K194" s="119">
        <v>14500.668000000003</v>
      </c>
      <c r="L194" s="119">
        <v>0</v>
      </c>
    </row>
    <row r="195" spans="2:12" x14ac:dyDescent="0.2">
      <c r="B195" s="41" t="s">
        <v>240</v>
      </c>
      <c r="C195" s="86">
        <f>C193/C194</f>
        <v>0.27666072739370318</v>
      </c>
      <c r="D195" s="86">
        <f>D193/D194</f>
        <v>0.5091499588352878</v>
      </c>
      <c r="E195" s="86">
        <f>E193/E194</f>
        <v>0.43123783848064806</v>
      </c>
      <c r="F195" s="86">
        <f>F193/F194</f>
        <v>0.52557286295832173</v>
      </c>
      <c r="G195" s="87">
        <f>G193/G194</f>
        <v>0.62943648142873088</v>
      </c>
      <c r="H195" s="88">
        <f>AVERAGE(C195:G195)</f>
        <v>0.47441157381933829</v>
      </c>
      <c r="I195" s="88">
        <f>AVERAGE(D195:H195)</f>
        <v>0.5139617431044653</v>
      </c>
      <c r="J195" s="88">
        <f>AVERAGE(E195:I195)</f>
        <v>0.5149240999583008</v>
      </c>
      <c r="K195" s="88">
        <f>AVERAGE(F195:J195)</f>
        <v>0.53166135225383138</v>
      </c>
      <c r="L195" s="88">
        <f>AVERAGE(G195:K195)</f>
        <v>0.53287905011293335</v>
      </c>
    </row>
    <row r="196" spans="2:12" x14ac:dyDescent="0.2">
      <c r="B196" s="41"/>
      <c r="C196" s="60"/>
      <c r="D196" s="60"/>
      <c r="E196" s="60"/>
      <c r="F196" s="60"/>
      <c r="G196" s="61"/>
      <c r="H196" s="62"/>
      <c r="I196" s="62"/>
      <c r="J196" s="62"/>
      <c r="K196" s="62"/>
      <c r="L196" s="62"/>
    </row>
    <row r="197" spans="2:12" x14ac:dyDescent="0.2">
      <c r="B197" s="41" t="s">
        <v>74</v>
      </c>
      <c r="C197" s="60">
        <f>'balance sheet1'!C49</f>
        <v>406.1</v>
      </c>
      <c r="D197" s="60">
        <f>'balance sheet1'!D49</f>
        <v>406.54</v>
      </c>
      <c r="E197" s="60">
        <f>'balance sheet1'!E49</f>
        <v>490.75</v>
      </c>
      <c r="F197" s="60">
        <f>'balance sheet1'!F49</f>
        <v>547.66999999999996</v>
      </c>
      <c r="G197" s="60">
        <f>'balance sheet1'!G49</f>
        <v>584.34</v>
      </c>
      <c r="H197" s="62">
        <f>H198*H199</f>
        <v>695.65363306638437</v>
      </c>
      <c r="I197" s="62">
        <f>I198*I199</f>
        <v>798.4914051736298</v>
      </c>
      <c r="J197" s="62">
        <f>J198*J199</f>
        <v>918.35295460757766</v>
      </c>
      <c r="K197" s="62">
        <f>K198*K199</f>
        <v>1058.1041898818355</v>
      </c>
      <c r="L197" s="62">
        <f>L198*L199</f>
        <v>1221.0989712547416</v>
      </c>
    </row>
    <row r="198" spans="2:12" x14ac:dyDescent="0.2">
      <c r="B198" s="41" t="s">
        <v>241</v>
      </c>
      <c r="C198" s="60">
        <f>'income statement'!C14</f>
        <v>41345.07</v>
      </c>
      <c r="D198" s="60">
        <f>'income statement'!D14</f>
        <v>44517.96</v>
      </c>
      <c r="E198" s="60">
        <f>'income statement'!E14</f>
        <v>51998.590000000004</v>
      </c>
      <c r="F198" s="60">
        <f>'income statement'!F14</f>
        <v>57305.34</v>
      </c>
      <c r="G198" s="60">
        <f>'income statement'!G14</f>
        <v>64629.04</v>
      </c>
      <c r="H198" s="62">
        <f>'income statement'!H14</f>
        <v>74020.654745546795</v>
      </c>
      <c r="I198" s="62">
        <f>'income statement'!I14</f>
        <v>84963.05317793625</v>
      </c>
      <c r="J198" s="62">
        <f>'income statement'!J14</f>
        <v>97716.857580291602</v>
      </c>
      <c r="K198" s="62">
        <f>'income statement'!K14</f>
        <v>112587.01342336815</v>
      </c>
      <c r="L198" s="62">
        <f>'income statement'!L14</f>
        <v>129930.38642373374</v>
      </c>
    </row>
    <row r="199" spans="2:12" x14ac:dyDescent="0.2">
      <c r="B199" s="41" t="s">
        <v>242</v>
      </c>
      <c r="C199" s="86">
        <f>C197/C198</f>
        <v>9.8222109673535441E-3</v>
      </c>
      <c r="D199" s="86">
        <f>D197/D198</f>
        <v>9.1320446848867295E-3</v>
      </c>
      <c r="E199" s="86">
        <f>E197/E198</f>
        <v>9.4377559083813605E-3</v>
      </c>
      <c r="F199" s="86">
        <f>F197/F198</f>
        <v>9.5570500061599849E-3</v>
      </c>
      <c r="G199" s="87">
        <f>G197/G198</f>
        <v>9.0414463838546892E-3</v>
      </c>
      <c r="H199" s="88">
        <f>AVERAGE($C$199:$G$199)</f>
        <v>9.398101590127262E-3</v>
      </c>
      <c r="I199" s="88">
        <f>AVERAGE($C$199:$G$199)</f>
        <v>9.398101590127262E-3</v>
      </c>
      <c r="J199" s="88">
        <f>AVERAGE($C$199:$G$199)</f>
        <v>9.398101590127262E-3</v>
      </c>
      <c r="K199" s="88">
        <f>AVERAGE($C$199:$G$199)</f>
        <v>9.398101590127262E-3</v>
      </c>
      <c r="L199" s="88">
        <f>AVERAGE($C$199:$G$199)</f>
        <v>9.398101590127262E-3</v>
      </c>
    </row>
    <row r="200" spans="2:12" x14ac:dyDescent="0.2">
      <c r="B200" s="41"/>
      <c r="C200" s="60"/>
      <c r="D200" s="60"/>
      <c r="E200" s="60"/>
      <c r="F200" s="60"/>
      <c r="G200" s="61"/>
      <c r="H200" s="62"/>
      <c r="I200" s="62"/>
      <c r="J200" s="62"/>
      <c r="K200" s="62"/>
      <c r="L200" s="62"/>
    </row>
    <row r="201" spans="2:12" x14ac:dyDescent="0.2">
      <c r="B201" s="41" t="s">
        <v>83</v>
      </c>
      <c r="C201" s="60">
        <f>'balance sheet1'!C51</f>
        <v>488.99</v>
      </c>
      <c r="D201" s="60">
        <f>'balance sheet1'!D51</f>
        <v>575.91</v>
      </c>
      <c r="E201" s="60">
        <f>'balance sheet1'!E51</f>
        <v>851.7</v>
      </c>
      <c r="F201" s="60">
        <f>'balance sheet1'!F51</f>
        <v>1018.71</v>
      </c>
      <c r="G201" s="60">
        <f>'balance sheet1'!G51</f>
        <v>1417.65</v>
      </c>
      <c r="H201" s="62">
        <f>H202*H203</f>
        <v>1326.5730554550271</v>
      </c>
      <c r="I201" s="62">
        <f>I202*I203</f>
        <v>1543.6018935626419</v>
      </c>
      <c r="J201" s="62">
        <f>J202*J203</f>
        <v>1787.2398396441699</v>
      </c>
      <c r="K201" s="62">
        <f>K202*K203</f>
        <v>1969.7062537531654</v>
      </c>
      <c r="L201" s="62">
        <f>L202*L203</f>
        <v>2157.9173492447567</v>
      </c>
    </row>
    <row r="202" spans="2:12" x14ac:dyDescent="0.2">
      <c r="B202" s="41" t="s">
        <v>205</v>
      </c>
      <c r="C202" s="60">
        <f>'income statement'!C9</f>
        <v>79009.859999999986</v>
      </c>
      <c r="D202" s="60">
        <f>'income statement'!D9</f>
        <v>93785.97</v>
      </c>
      <c r="E202" s="60">
        <f>'income statement'!E9</f>
        <v>110588.83</v>
      </c>
      <c r="F202" s="60">
        <f>'income statement'!F9</f>
        <v>140313.92000000001</v>
      </c>
      <c r="G202" s="60">
        <f>'income statement'!G9</f>
        <v>164670.66999999998</v>
      </c>
      <c r="H202" s="62">
        <f>'income statement'!H9</f>
        <v>184757.51661808495</v>
      </c>
      <c r="I202" s="62">
        <f>'income statement'!I9</f>
        <v>209208.43587589159</v>
      </c>
      <c r="J202" s="62">
        <f>'income statement'!J9</f>
        <v>234366.93232928176</v>
      </c>
      <c r="K202" s="62">
        <f>'income statement'!K9</f>
        <v>258808.08846809913</v>
      </c>
      <c r="L202" s="62">
        <f>'income statement'!L9</f>
        <v>280950.4632819547</v>
      </c>
    </row>
    <row r="203" spans="2:12" x14ac:dyDescent="0.2">
      <c r="B203" s="41" t="s">
        <v>243</v>
      </c>
      <c r="C203" s="86">
        <f>C201/C202</f>
        <v>6.1889743887661632E-3</v>
      </c>
      <c r="D203" s="86">
        <f>D201/D202</f>
        <v>6.1406839423849852E-3</v>
      </c>
      <c r="E203" s="86">
        <f>E201/E202</f>
        <v>7.7015011371401616E-3</v>
      </c>
      <c r="F203" s="86">
        <f>F201/F202</f>
        <v>7.2602205112650255E-3</v>
      </c>
      <c r="G203" s="87">
        <f>G201/G202</f>
        <v>8.609001226508645E-3</v>
      </c>
      <c r="H203" s="88">
        <f>AVERAGE(C203:G203)</f>
        <v>7.1800762412129963E-3</v>
      </c>
      <c r="I203" s="88">
        <f>AVERAGE(D203:H203)</f>
        <v>7.3782966117023618E-3</v>
      </c>
      <c r="J203" s="88">
        <f>AVERAGE(E203:I203)</f>
        <v>7.6258191455658379E-3</v>
      </c>
      <c r="K203" s="88">
        <f>AVERAGE(F203:J203)</f>
        <v>7.6106827472509726E-3</v>
      </c>
      <c r="L203" s="88">
        <f>AVERAGE(G203:K203)</f>
        <v>7.6807751944481624E-3</v>
      </c>
    </row>
    <row r="204" spans="2:12" x14ac:dyDescent="0.2">
      <c r="B204" s="41"/>
      <c r="C204" s="60"/>
      <c r="D204" s="60"/>
      <c r="E204" s="60"/>
      <c r="F204" s="60"/>
      <c r="G204" s="61"/>
      <c r="H204" s="62"/>
      <c r="I204" s="62"/>
      <c r="J204" s="62"/>
      <c r="K204" s="62"/>
      <c r="L204" s="62"/>
    </row>
    <row r="205" spans="2:12" x14ac:dyDescent="0.2">
      <c r="B205" s="41" t="s">
        <v>84</v>
      </c>
      <c r="C205" s="60">
        <f>'balance sheet1'!C52</f>
        <v>45256.24</v>
      </c>
      <c r="D205" s="60">
        <f>'balance sheet1'!D52</f>
        <v>50789.71</v>
      </c>
      <c r="E205" s="60">
        <f>'balance sheet1'!E52</f>
        <v>48932.42</v>
      </c>
      <c r="F205" s="60">
        <f>'balance sheet1'!F52</f>
        <v>52274.17</v>
      </c>
      <c r="G205" s="60">
        <f>'balance sheet1'!G52</f>
        <v>51041.69</v>
      </c>
      <c r="H205" s="62">
        <f>H206*H207</f>
        <v>82746.494153695952</v>
      </c>
      <c r="I205" s="62">
        <f>I206*I207</f>
        <v>88470.06054840234</v>
      </c>
      <c r="J205" s="62">
        <f>J206*J207</f>
        <v>93546.6607971591</v>
      </c>
      <c r="K205" s="62">
        <f>K206*K207</f>
        <v>101059.6578517134</v>
      </c>
      <c r="L205" s="62">
        <f>L206*L207</f>
        <v>110713.29636246334</v>
      </c>
    </row>
    <row r="206" spans="2:12" x14ac:dyDescent="0.2">
      <c r="B206" s="41" t="s">
        <v>205</v>
      </c>
      <c r="C206" s="60">
        <f>C202</f>
        <v>79009.859999999986</v>
      </c>
      <c r="D206" s="60">
        <f t="shared" ref="D206:L206" si="5">D202</f>
        <v>93785.97</v>
      </c>
      <c r="E206" s="60">
        <f t="shared" si="5"/>
        <v>110588.83</v>
      </c>
      <c r="F206" s="60">
        <f t="shared" si="5"/>
        <v>140313.92000000001</v>
      </c>
      <c r="G206" s="60">
        <f t="shared" si="5"/>
        <v>164670.66999999998</v>
      </c>
      <c r="H206" s="62">
        <f t="shared" si="5"/>
        <v>184757.51661808495</v>
      </c>
      <c r="I206" s="62">
        <f t="shared" si="5"/>
        <v>209208.43587589159</v>
      </c>
      <c r="J206" s="62">
        <f t="shared" si="5"/>
        <v>234366.93232928176</v>
      </c>
      <c r="K206" s="62">
        <f t="shared" si="5"/>
        <v>258808.08846809913</v>
      </c>
      <c r="L206" s="62">
        <f t="shared" si="5"/>
        <v>280950.4632819547</v>
      </c>
    </row>
    <row r="207" spans="2:12" x14ac:dyDescent="0.2">
      <c r="B207" s="41" t="s">
        <v>244</v>
      </c>
      <c r="C207" s="86">
        <f>C205/C206</f>
        <v>0.57279230718798901</v>
      </c>
      <c r="D207" s="86">
        <f>D205/D206</f>
        <v>0.54154912509834896</v>
      </c>
      <c r="E207" s="86">
        <f>E205/E206</f>
        <v>0.44247163117649402</v>
      </c>
      <c r="F207" s="86">
        <f>F205/F206</f>
        <v>0.37255156152718127</v>
      </c>
      <c r="G207" s="87">
        <f>G205/G206</f>
        <v>0.30996224160623143</v>
      </c>
      <c r="H207" s="88">
        <f>AVERAGE(C207:G207)</f>
        <v>0.44786537331924892</v>
      </c>
      <c r="I207" s="88">
        <f>AVERAGE(D207:H207)</f>
        <v>0.42287998654550096</v>
      </c>
      <c r="J207" s="88">
        <f>AVERAGE(E207:I207)</f>
        <v>0.39914615883493132</v>
      </c>
      <c r="K207" s="88">
        <f>AVERAGE(F207:J207)</f>
        <v>0.39048106436661884</v>
      </c>
      <c r="L207" s="88">
        <f>AVERAGE(G207:K207)</f>
        <v>0.39406696493450633</v>
      </c>
    </row>
    <row r="208" spans="2:12" x14ac:dyDescent="0.2">
      <c r="B208" s="41"/>
      <c r="C208" s="60"/>
      <c r="D208" s="60"/>
      <c r="E208" s="60"/>
      <c r="F208" s="60"/>
      <c r="G208" s="61"/>
      <c r="H208" s="88"/>
      <c r="I208" s="62"/>
      <c r="J208" s="62"/>
      <c r="K208" s="62"/>
      <c r="L208" s="62"/>
    </row>
    <row r="209" spans="2:12" x14ac:dyDescent="0.2">
      <c r="B209" s="41"/>
      <c r="C209" s="60"/>
      <c r="D209" s="60"/>
      <c r="E209" s="60"/>
      <c r="F209" s="60"/>
      <c r="G209" s="61"/>
      <c r="H209" s="62"/>
      <c r="I209" s="62"/>
      <c r="J209" s="62"/>
      <c r="K209" s="62"/>
      <c r="L209" s="62"/>
    </row>
    <row r="210" spans="2:12" x14ac:dyDescent="0.2">
      <c r="B210" t="s">
        <v>75</v>
      </c>
      <c r="C210" s="60">
        <f>'balance sheet1'!C54</f>
        <v>5328.93</v>
      </c>
      <c r="D210" s="60">
        <f>'balance sheet1'!D54</f>
        <v>6664.35</v>
      </c>
      <c r="E210" s="60">
        <f>'balance sheet1'!E54</f>
        <v>7441.94</v>
      </c>
      <c r="F210" s="60">
        <f>'balance sheet1'!F54</f>
        <v>7575.67</v>
      </c>
      <c r="G210" s="60">
        <f>'balance sheet1'!G54</f>
        <v>6273.37</v>
      </c>
      <c r="H210" s="62">
        <f>G210</f>
        <v>6273.37</v>
      </c>
      <c r="I210" s="62">
        <f>H210</f>
        <v>6273.37</v>
      </c>
      <c r="J210" s="62">
        <f>I210</f>
        <v>6273.37</v>
      </c>
      <c r="K210" s="62">
        <f>J210</f>
        <v>6273.37</v>
      </c>
      <c r="L210" s="62">
        <f>K210</f>
        <v>6273.37</v>
      </c>
    </row>
    <row r="211" spans="2:12" x14ac:dyDescent="0.2">
      <c r="C211" s="60"/>
      <c r="D211" s="60"/>
      <c r="E211" s="60"/>
      <c r="F211" s="60"/>
      <c r="G211" s="61"/>
      <c r="H211" s="62"/>
      <c r="I211" s="62"/>
      <c r="J211" s="62"/>
      <c r="K211" s="62"/>
      <c r="L211" s="62"/>
    </row>
    <row r="212" spans="2:12" x14ac:dyDescent="0.2">
      <c r="B212" t="s">
        <v>85</v>
      </c>
      <c r="C212" s="60">
        <f>'balance sheet1'!C55</f>
        <v>31269.63</v>
      </c>
      <c r="D212" s="60">
        <f>'balance sheet1'!D55</f>
        <v>34408.74</v>
      </c>
      <c r="E212" s="60">
        <f>'balance sheet1'!E55</f>
        <v>42166.55</v>
      </c>
      <c r="F212" s="60">
        <f>'balance sheet1'!F55</f>
        <v>52184.08</v>
      </c>
      <c r="G212" s="60">
        <f>'balance sheet1'!G55</f>
        <v>63326.97</v>
      </c>
      <c r="H212" s="62">
        <f>G212</f>
        <v>63326.97</v>
      </c>
      <c r="I212" s="62">
        <f>H212</f>
        <v>63326.97</v>
      </c>
      <c r="J212" s="62">
        <f>I212</f>
        <v>63326.97</v>
      </c>
      <c r="K212" s="62">
        <f>J212</f>
        <v>63326.97</v>
      </c>
      <c r="L212" s="62">
        <f>K212</f>
        <v>63326.97</v>
      </c>
    </row>
    <row r="213" spans="2:12" x14ac:dyDescent="0.2">
      <c r="C213" s="60"/>
      <c r="D213" s="60"/>
      <c r="E213" s="60"/>
      <c r="F213" s="60"/>
      <c r="G213" s="61"/>
      <c r="H213" s="62"/>
      <c r="I213" s="62"/>
      <c r="J213" s="62"/>
      <c r="K213" s="62"/>
      <c r="L213" s="62"/>
    </row>
    <row r="214" spans="2:12" x14ac:dyDescent="0.2">
      <c r="B214" t="s">
        <v>76</v>
      </c>
      <c r="C214" s="60">
        <f>'balance sheet1'!C56</f>
        <v>2998.68</v>
      </c>
      <c r="D214" s="60">
        <f>'balance sheet1'!D56</f>
        <v>3355.86</v>
      </c>
      <c r="E214" s="60">
        <f>'balance sheet1'!E56</f>
        <v>3493.47</v>
      </c>
      <c r="F214" s="60">
        <f>'balance sheet1'!F56</f>
        <v>4115.8900000000003</v>
      </c>
      <c r="G214" s="60">
        <f>'balance sheet1'!G56</f>
        <v>4691.67</v>
      </c>
      <c r="H214" s="62">
        <f>G214</f>
        <v>4691.67</v>
      </c>
      <c r="I214" s="62">
        <f>H214</f>
        <v>4691.67</v>
      </c>
      <c r="J214" s="62">
        <f>I214</f>
        <v>4691.67</v>
      </c>
      <c r="K214" s="62">
        <f>J214</f>
        <v>4691.67</v>
      </c>
      <c r="L214" s="62">
        <f>K214</f>
        <v>4691.67</v>
      </c>
    </row>
    <row r="215" spans="2:12" x14ac:dyDescent="0.2">
      <c r="C215" s="60"/>
      <c r="D215" s="60"/>
      <c r="E215" s="60"/>
      <c r="F215" s="60"/>
      <c r="G215" s="61"/>
      <c r="H215" s="62"/>
      <c r="I215" s="62"/>
      <c r="J215" s="62"/>
      <c r="K215" s="62"/>
      <c r="L215" s="62"/>
    </row>
    <row r="216" spans="2:12" x14ac:dyDescent="0.2">
      <c r="B216" s="38" t="s">
        <v>86</v>
      </c>
      <c r="C216" s="60">
        <f>'balance sheet1'!C57</f>
        <v>1171.02</v>
      </c>
      <c r="D216" s="60">
        <f>'balance sheet1'!D57</f>
        <v>1309.82</v>
      </c>
      <c r="E216" s="60">
        <f>'balance sheet1'!E57</f>
        <v>1393.46</v>
      </c>
      <c r="F216" s="60">
        <f>'balance sheet1'!F57</f>
        <v>1860.47</v>
      </c>
      <c r="G216" s="60">
        <f>'balance sheet1'!G57</f>
        <v>2579.21</v>
      </c>
      <c r="H216" s="62">
        <f>G216</f>
        <v>2579.21</v>
      </c>
      <c r="I216" s="62">
        <f>H216</f>
        <v>2579.21</v>
      </c>
      <c r="J216" s="62">
        <f>I216</f>
        <v>2579.21</v>
      </c>
      <c r="K216" s="62">
        <f>J216</f>
        <v>2579.21</v>
      </c>
      <c r="L216" s="62">
        <f>K216</f>
        <v>2579.21</v>
      </c>
    </row>
    <row r="217" spans="2:12" x14ac:dyDescent="0.2">
      <c r="B217" s="38"/>
      <c r="C217" s="60"/>
      <c r="D217" s="60"/>
      <c r="E217" s="60"/>
      <c r="F217" s="60"/>
      <c r="G217" s="61"/>
      <c r="H217" s="62"/>
      <c r="I217" s="62"/>
      <c r="J217" s="62"/>
      <c r="K217" s="62"/>
      <c r="L217" s="62"/>
    </row>
    <row r="218" spans="2:12" x14ac:dyDescent="0.2">
      <c r="B218" s="38"/>
      <c r="C218" s="60"/>
      <c r="D218" s="60"/>
      <c r="E218" s="60"/>
      <c r="F218" s="60"/>
      <c r="G218" s="61"/>
      <c r="H218" s="62"/>
      <c r="I218" s="62"/>
      <c r="J218" s="62"/>
      <c r="K218" s="62"/>
      <c r="L218" s="62"/>
    </row>
    <row r="219" spans="2:12" x14ac:dyDescent="0.2">
      <c r="B219" s="63" t="s">
        <v>149</v>
      </c>
      <c r="C219" s="60"/>
      <c r="D219" s="60"/>
      <c r="E219" s="60"/>
      <c r="F219" s="60"/>
      <c r="G219" s="61"/>
      <c r="H219" s="62"/>
      <c r="I219" s="62"/>
      <c r="J219" s="62"/>
      <c r="K219" s="62"/>
      <c r="L219" s="62"/>
    </row>
    <row r="220" spans="2:12" x14ac:dyDescent="0.2">
      <c r="B220" s="38" t="s">
        <v>73</v>
      </c>
      <c r="C220" s="60"/>
      <c r="D220" s="60">
        <f>C224</f>
        <v>82120.039999999994</v>
      </c>
      <c r="E220" s="60">
        <f t="shared" ref="E220:L220" si="6">D224</f>
        <v>61618.31</v>
      </c>
      <c r="F220" s="60">
        <f t="shared" si="6"/>
        <v>61217.68</v>
      </c>
      <c r="G220" s="61">
        <f t="shared" si="6"/>
        <v>56506.97</v>
      </c>
      <c r="H220" s="62">
        <f>G224</f>
        <v>57503.34</v>
      </c>
      <c r="I220" s="62">
        <f t="shared" si="6"/>
        <v>58002.671999999999</v>
      </c>
      <c r="J220" s="62">
        <f t="shared" si="6"/>
        <v>43502.004000000001</v>
      </c>
      <c r="K220" s="62">
        <f t="shared" si="6"/>
        <v>29001.336000000003</v>
      </c>
      <c r="L220" s="62">
        <f t="shared" si="6"/>
        <v>14500.668000000003</v>
      </c>
    </row>
    <row r="221" spans="2:12" x14ac:dyDescent="0.2">
      <c r="B221" s="38" t="s">
        <v>245</v>
      </c>
      <c r="C221" s="60"/>
      <c r="D221" s="60">
        <f>D222-D220</f>
        <v>0</v>
      </c>
      <c r="E221" s="60">
        <f>E222-E220</f>
        <v>0</v>
      </c>
      <c r="F221" s="60">
        <f>F222-F220</f>
        <v>0</v>
      </c>
      <c r="G221" s="61">
        <f>G222-G220</f>
        <v>996.36999999999534</v>
      </c>
      <c r="H221" s="101">
        <v>15000</v>
      </c>
      <c r="I221" s="101">
        <v>0</v>
      </c>
      <c r="J221" s="101">
        <v>0</v>
      </c>
      <c r="K221" s="101">
        <v>0</v>
      </c>
      <c r="L221" s="101">
        <v>0</v>
      </c>
    </row>
    <row r="222" spans="2:12" x14ac:dyDescent="0.2">
      <c r="B222" s="102" t="s">
        <v>246</v>
      </c>
      <c r="C222" s="103"/>
      <c r="D222" s="103">
        <f>MAX(D220,D224)</f>
        <v>82120.039999999994</v>
      </c>
      <c r="E222" s="103">
        <f>MAX(E220,E224)</f>
        <v>61618.31</v>
      </c>
      <c r="F222" s="103">
        <f>MAX(F220,F224)</f>
        <v>61217.68</v>
      </c>
      <c r="G222" s="104">
        <f>MAX(G220,G224)</f>
        <v>57503.34</v>
      </c>
      <c r="H222" s="105">
        <f>SUM(H220:H221)</f>
        <v>72503.34</v>
      </c>
      <c r="I222" s="105">
        <f>SUM(I220:I221)</f>
        <v>58002.671999999999</v>
      </c>
      <c r="J222" s="105">
        <f>SUM(J220:J221)</f>
        <v>43502.004000000001</v>
      </c>
      <c r="K222" s="105">
        <f>SUM(K220:K221)</f>
        <v>29001.336000000003</v>
      </c>
      <c r="L222" s="105">
        <f>SUM(L220:L221)</f>
        <v>14500.668000000003</v>
      </c>
    </row>
    <row r="223" spans="2:12" x14ac:dyDescent="0.2">
      <c r="B223" s="38" t="s">
        <v>247</v>
      </c>
      <c r="C223" s="60"/>
      <c r="D223" s="60">
        <f>D222-D224</f>
        <v>20501.729999999996</v>
      </c>
      <c r="E223" s="60">
        <f>E222-E224</f>
        <v>400.62999999999738</v>
      </c>
      <c r="F223" s="60">
        <f>F222-F224</f>
        <v>4710.7099999999991</v>
      </c>
      <c r="G223" s="61">
        <f>G222-G224</f>
        <v>0</v>
      </c>
      <c r="H223" s="62">
        <f>IF(H222&gt;=($H$222/5),($H$222/5),0)</f>
        <v>14500.668</v>
      </c>
      <c r="I223" s="62">
        <f>IF(I222&gt;=($H$222/5),($H$222/5),0)</f>
        <v>14500.668</v>
      </c>
      <c r="J223" s="62">
        <f>IF(J222&gt;=($H$222/5),($H$222/5),0)</f>
        <v>14500.668</v>
      </c>
      <c r="K223" s="62">
        <f>IF(K222&gt;=($H$222/5),($H$222/5),0)</f>
        <v>14500.668</v>
      </c>
      <c r="L223" s="62">
        <f>IF(L222&gt;=($H$222/5),($H$222/5),0)</f>
        <v>14500.668</v>
      </c>
    </row>
    <row r="224" spans="2:12" x14ac:dyDescent="0.2">
      <c r="B224" s="102" t="s">
        <v>248</v>
      </c>
      <c r="C224" s="103">
        <f>'balance sheet1'!C64</f>
        <v>82120.039999999994</v>
      </c>
      <c r="D224" s="103">
        <f>'balance sheet1'!D64</f>
        <v>61618.31</v>
      </c>
      <c r="E224" s="103">
        <f>'balance sheet1'!E64</f>
        <v>61217.68</v>
      </c>
      <c r="F224" s="103">
        <f>'balance sheet1'!F64</f>
        <v>56506.97</v>
      </c>
      <c r="G224" s="103">
        <f>'balance sheet1'!G64</f>
        <v>57503.34</v>
      </c>
      <c r="H224" s="105">
        <f>H222-H223</f>
        <v>58002.671999999999</v>
      </c>
      <c r="I224" s="105">
        <f>I222-I223</f>
        <v>43502.004000000001</v>
      </c>
      <c r="J224" s="105">
        <f>J222-J223</f>
        <v>29001.336000000003</v>
      </c>
      <c r="K224" s="105">
        <f>K222-K223</f>
        <v>14500.668000000003</v>
      </c>
      <c r="L224" s="105">
        <f>L222-L223</f>
        <v>0</v>
      </c>
    </row>
    <row r="225" spans="2:12" x14ac:dyDescent="0.2">
      <c r="B225" s="38" t="s">
        <v>249</v>
      </c>
      <c r="C225" s="60">
        <f>'income statement'!C18</f>
        <v>3913.44</v>
      </c>
      <c r="D225" s="60">
        <f>'income statement'!D18</f>
        <v>3125.7</v>
      </c>
      <c r="E225" s="60">
        <f>'income statement'!E18</f>
        <v>3207.16</v>
      </c>
      <c r="F225" s="60">
        <f>'income statement'!F18</f>
        <v>3545.85</v>
      </c>
      <c r="G225" s="60">
        <f>'income statement'!G18</f>
        <v>3334.37</v>
      </c>
      <c r="H225" s="62">
        <f>H222*H226</f>
        <v>3734.2674020976633</v>
      </c>
      <c r="I225" s="62">
        <f>I222*I226</f>
        <v>2987.4139216781305</v>
      </c>
      <c r="J225" s="62">
        <f>J222*J226</f>
        <v>2240.5604412585981</v>
      </c>
      <c r="K225" s="62">
        <f>K222*K226</f>
        <v>1493.7069608390655</v>
      </c>
      <c r="L225" s="62">
        <f>L222*L226</f>
        <v>746.85348041953284</v>
      </c>
    </row>
    <row r="226" spans="2:12" x14ac:dyDescent="0.2">
      <c r="B226" s="38" t="s">
        <v>250</v>
      </c>
      <c r="C226" s="60"/>
      <c r="D226" s="86">
        <f>D225/D222</f>
        <v>3.8062572789784324E-2</v>
      </c>
      <c r="E226" s="86">
        <f>E225/E222</f>
        <v>5.2048814711081817E-2</v>
      </c>
      <c r="F226" s="86">
        <f>F225/F222</f>
        <v>5.7921992470149147E-2</v>
      </c>
      <c r="G226" s="87">
        <f>G225/G222</f>
        <v>5.7985675266862761E-2</v>
      </c>
      <c r="H226" s="88">
        <f>AVERAGE($D$226:$G$226)</f>
        <v>5.1504763809469514E-2</v>
      </c>
      <c r="I226" s="88">
        <f>AVERAGE($D$226:$G$226)</f>
        <v>5.1504763809469514E-2</v>
      </c>
      <c r="J226" s="88">
        <f>AVERAGE($D$226:$G$226)</f>
        <v>5.1504763809469514E-2</v>
      </c>
      <c r="K226" s="88">
        <f>AVERAGE($D$226:$G$226)</f>
        <v>5.1504763809469514E-2</v>
      </c>
      <c r="L226" s="88">
        <f>AVERAGE($D$226:$G$226)</f>
        <v>5.1504763809469514E-2</v>
      </c>
    </row>
    <row r="227" spans="2:12" x14ac:dyDescent="0.2">
      <c r="B227" s="38"/>
      <c r="C227" s="60"/>
      <c r="D227" s="60"/>
      <c r="E227" s="60"/>
      <c r="F227" s="60"/>
      <c r="G227" s="61"/>
      <c r="H227" s="62"/>
      <c r="I227" s="62"/>
      <c r="J227" s="62"/>
      <c r="K227" s="62"/>
      <c r="L227" s="62"/>
    </row>
    <row r="228" spans="2:12" x14ac:dyDescent="0.2">
      <c r="B228" s="38"/>
      <c r="C228" s="60"/>
      <c r="D228" s="60"/>
      <c r="E228" s="60"/>
      <c r="F228" s="60"/>
      <c r="G228" s="61"/>
      <c r="H228" s="62"/>
      <c r="I228" s="62"/>
      <c r="J228" s="62"/>
      <c r="K228" s="62"/>
      <c r="L228" s="62"/>
    </row>
    <row r="229" spans="2:12" x14ac:dyDescent="0.2">
      <c r="B229" s="38"/>
      <c r="C229" s="60"/>
      <c r="D229" s="60"/>
      <c r="E229" s="60"/>
      <c r="F229" s="60"/>
      <c r="G229" s="61"/>
      <c r="H229" s="62"/>
      <c r="I229" s="62"/>
      <c r="J229" s="62"/>
      <c r="K229" s="62"/>
      <c r="L229" s="62"/>
    </row>
    <row r="230" spans="2:12" x14ac:dyDescent="0.2">
      <c r="B230" s="38"/>
      <c r="C230" s="60"/>
      <c r="D230" s="60"/>
      <c r="E230" s="60"/>
      <c r="F230" s="60"/>
      <c r="G230" s="61"/>
      <c r="H230" s="62"/>
      <c r="I230" s="62"/>
      <c r="J230" s="62"/>
      <c r="K230" s="62"/>
      <c r="L230" s="62"/>
    </row>
    <row r="231" spans="2:12" x14ac:dyDescent="0.2">
      <c r="B231" t="s">
        <v>74</v>
      </c>
      <c r="C231" s="60">
        <f>'balance sheet1'!C65</f>
        <v>1617.72</v>
      </c>
      <c r="D231" s="60">
        <f>'balance sheet1'!D65</f>
        <v>1633.31</v>
      </c>
      <c r="E231" s="60">
        <f>'balance sheet1'!E65</f>
        <v>1646.31</v>
      </c>
      <c r="F231" s="60">
        <f>'balance sheet1'!F65</f>
        <v>1734.78</v>
      </c>
      <c r="G231" s="60">
        <f>'balance sheet1'!G65</f>
        <v>2265.2399999999998</v>
      </c>
      <c r="H231" s="62">
        <f>H232*H233</f>
        <v>2750.8869541785657</v>
      </c>
      <c r="I231" s="62">
        <f>I232*I233</f>
        <v>2938.0354899216381</v>
      </c>
      <c r="J231" s="62">
        <f>J232*J233</f>
        <v>3173.6524412800159</v>
      </c>
      <c r="K231" s="62">
        <f>K232*K233</f>
        <v>3472.277083942558</v>
      </c>
      <c r="L231" s="62">
        <f>L232*L233</f>
        <v>3863.489860410858</v>
      </c>
    </row>
    <row r="232" spans="2:12" x14ac:dyDescent="0.2">
      <c r="B232" t="s">
        <v>251</v>
      </c>
      <c r="C232" s="36">
        <f>'income statement'!C8</f>
        <v>139408.38</v>
      </c>
      <c r="D232" s="36">
        <f>'income statement'!D8</f>
        <v>158788.31</v>
      </c>
      <c r="E232" s="36">
        <f>'income statement'!E8</f>
        <v>186269.87000000002</v>
      </c>
      <c r="F232" s="36">
        <f>'income statement'!F8</f>
        <v>225270.94</v>
      </c>
      <c r="G232" s="36">
        <f>'income statement'!G8</f>
        <v>259859.27000000002</v>
      </c>
      <c r="H232" s="37">
        <f>'income statement'!H8</f>
        <v>291737.5101000311</v>
      </c>
      <c r="I232" s="37">
        <f>'income statement'!I8</f>
        <v>326653.43763097341</v>
      </c>
      <c r="J232" s="37">
        <f>'income statement'!J8</f>
        <v>363284.24173616362</v>
      </c>
      <c r="K232" s="37">
        <f>'income statement'!K8</f>
        <v>398400.53480627818</v>
      </c>
      <c r="L232" s="37">
        <f>'income statement'!L8</f>
        <v>433200.49215783027</v>
      </c>
    </row>
    <row r="233" spans="2:12" x14ac:dyDescent="0.2">
      <c r="B233" t="s">
        <v>242</v>
      </c>
      <c r="C233" s="86">
        <f>C231/C232</f>
        <v>1.1604180466052327E-2</v>
      </c>
      <c r="D233" s="86">
        <f>D231/D232</f>
        <v>1.0286084662025812E-2</v>
      </c>
      <c r="E233" s="86">
        <f>E231/E232</f>
        <v>8.8383054113904715E-3</v>
      </c>
      <c r="F233" s="86">
        <f>F231/F232</f>
        <v>7.7008601286965815E-3</v>
      </c>
      <c r="G233" s="87">
        <f>G231/G232</f>
        <v>8.7171798797095051E-3</v>
      </c>
      <c r="H233" s="88">
        <f>AVERAGE(C233:G233)</f>
        <v>9.4293221095749398E-3</v>
      </c>
      <c r="I233" s="88">
        <f>AVERAGE(D233:H233)</f>
        <v>8.9943504382794612E-3</v>
      </c>
      <c r="J233" s="88">
        <f>AVERAGE(E233:I233)</f>
        <v>8.7360035935301911E-3</v>
      </c>
      <c r="K233" s="88">
        <f>AVERAGE(F233:J233)</f>
        <v>8.7155432299581351E-3</v>
      </c>
      <c r="L233" s="88">
        <f>AVERAGE(G233:K233)</f>
        <v>8.9184798502104472E-3</v>
      </c>
    </row>
    <row r="234" spans="2:12" x14ac:dyDescent="0.2">
      <c r="C234" s="60"/>
      <c r="D234" s="60"/>
      <c r="E234" s="60"/>
      <c r="F234" s="60"/>
      <c r="G234" s="61"/>
      <c r="H234" s="62"/>
      <c r="I234" s="62"/>
      <c r="J234" s="62"/>
      <c r="K234" s="62"/>
      <c r="L234" s="62"/>
    </row>
    <row r="235" spans="2:12" x14ac:dyDescent="0.2">
      <c r="C235" s="60"/>
      <c r="D235" s="60"/>
      <c r="E235" s="60"/>
      <c r="F235" s="60"/>
      <c r="G235" s="61"/>
      <c r="H235" s="62"/>
      <c r="I235" s="62"/>
      <c r="J235" s="62"/>
      <c r="K235" s="62"/>
      <c r="L235" s="62"/>
    </row>
    <row r="236" spans="2:12" x14ac:dyDescent="0.2">
      <c r="B236" s="38" t="s">
        <v>75</v>
      </c>
      <c r="C236" s="60">
        <f>'balance sheet1'!C66</f>
        <v>186.74</v>
      </c>
      <c r="D236" s="60">
        <f>'balance sheet1'!D66</f>
        <v>122.94</v>
      </c>
      <c r="E236" s="60">
        <f>'balance sheet1'!E66</f>
        <v>272.95999999999998</v>
      </c>
      <c r="F236" s="60">
        <f>'balance sheet1'!F66</f>
        <v>96.07</v>
      </c>
      <c r="G236" s="60">
        <f>'balance sheet1'!G66</f>
        <v>252.18</v>
      </c>
      <c r="H236" s="62">
        <f>G236</f>
        <v>252.18</v>
      </c>
      <c r="I236" s="62">
        <f>H236</f>
        <v>252.18</v>
      </c>
      <c r="J236" s="62">
        <f>I236</f>
        <v>252.18</v>
      </c>
      <c r="K236" s="62">
        <f>J236</f>
        <v>252.18</v>
      </c>
      <c r="L236" s="62">
        <f>K236</f>
        <v>252.18</v>
      </c>
    </row>
    <row r="237" spans="2:12" x14ac:dyDescent="0.2">
      <c r="B237" s="38"/>
      <c r="C237" s="60"/>
      <c r="D237" s="60"/>
      <c r="E237" s="60"/>
      <c r="F237" s="60"/>
      <c r="G237" s="61"/>
      <c r="H237" s="62"/>
      <c r="I237" s="62"/>
      <c r="J237" s="62"/>
      <c r="K237" s="62"/>
      <c r="L237" s="62"/>
    </row>
    <row r="238" spans="2:12" x14ac:dyDescent="0.2">
      <c r="B238" s="38" t="s">
        <v>76</v>
      </c>
      <c r="C238" s="60">
        <f>'balance sheet1'!C67</f>
        <v>773.78</v>
      </c>
      <c r="D238" s="60">
        <f>'balance sheet1'!D67</f>
        <v>817.77</v>
      </c>
      <c r="E238" s="60">
        <f>'balance sheet1'!E67</f>
        <v>869.99</v>
      </c>
      <c r="F238" s="60">
        <f>'balance sheet1'!F67</f>
        <v>987.38</v>
      </c>
      <c r="G238" s="60">
        <f>'balance sheet1'!G67</f>
        <v>1124.01</v>
      </c>
      <c r="H238" s="62">
        <f>G238</f>
        <v>1124.01</v>
      </c>
      <c r="I238" s="62">
        <f>H238</f>
        <v>1124.01</v>
      </c>
      <c r="J238" s="62">
        <f>I238</f>
        <v>1124.01</v>
      </c>
      <c r="K238" s="62">
        <f>J238</f>
        <v>1124.01</v>
      </c>
      <c r="L238" s="62">
        <f>K238</f>
        <v>1124.01</v>
      </c>
    </row>
    <row r="239" spans="2:12" x14ac:dyDescent="0.2">
      <c r="B239" s="38"/>
      <c r="C239" s="60"/>
      <c r="D239" s="60"/>
      <c r="E239" s="60"/>
      <c r="F239" s="60"/>
      <c r="G239" s="61"/>
      <c r="H239" s="62"/>
      <c r="I239" s="62"/>
      <c r="J239" s="62"/>
      <c r="K239" s="62"/>
      <c r="L239" s="62"/>
    </row>
    <row r="240" spans="2:12" x14ac:dyDescent="0.2">
      <c r="B240" s="38" t="s">
        <v>77</v>
      </c>
      <c r="C240" s="60">
        <f>'balance sheet1'!C68</f>
        <v>1178.6600000000001</v>
      </c>
      <c r="D240" s="60">
        <f>'balance sheet1'!D68</f>
        <v>1039.33</v>
      </c>
      <c r="E240" s="60">
        <f>'balance sheet1'!E68</f>
        <v>630.42999999999995</v>
      </c>
      <c r="F240" s="60">
        <f>'balance sheet1'!F68</f>
        <v>533.63</v>
      </c>
      <c r="G240" s="60">
        <f>'balance sheet1'!G68</f>
        <v>410.01</v>
      </c>
      <c r="H240" s="62">
        <f>G240*(1+H241)</f>
        <v>741.05112435545345</v>
      </c>
      <c r="I240" s="62">
        <f>H240*(1+I241)</f>
        <v>1339.3740857746927</v>
      </c>
      <c r="J240" s="62">
        <f>I240*(1+J241)</f>
        <v>2420.7816204382661</v>
      </c>
      <c r="K240" s="62">
        <f>J240*(1+K241)</f>
        <v>4375.3150938874505</v>
      </c>
      <c r="L240" s="62">
        <f>K240*(1+L241)</f>
        <v>7907.9343668073498</v>
      </c>
    </row>
    <row r="241" spans="2:12" x14ac:dyDescent="0.2">
      <c r="B241" s="38" t="s">
        <v>252</v>
      </c>
      <c r="C241" s="60">
        <v>0</v>
      </c>
      <c r="D241" s="86">
        <f>D240/C240</f>
        <v>0.88178948975955729</v>
      </c>
      <c r="E241" s="86">
        <f>E240/D240</f>
        <v>0.60657346559802949</v>
      </c>
      <c r="F241" s="86">
        <f>F240/E240</f>
        <v>0.84645400758212652</v>
      </c>
      <c r="G241" s="87">
        <f>G240/F240</f>
        <v>0.76834136011843412</v>
      </c>
      <c r="H241" s="88">
        <f>MEDIAN($D$241:$G$241)</f>
        <v>0.80739768385028032</v>
      </c>
      <c r="I241" s="88">
        <f>MEDIAN($D$241:$G$241)</f>
        <v>0.80739768385028032</v>
      </c>
      <c r="J241" s="88">
        <f>MEDIAN($D$241:$G$241)</f>
        <v>0.80739768385028032</v>
      </c>
      <c r="K241" s="88">
        <f>MEDIAN($D$241:$G$241)</f>
        <v>0.80739768385028032</v>
      </c>
      <c r="L241" s="88">
        <f>MEDIAN($D$241:$G$241)</f>
        <v>0.80739768385028032</v>
      </c>
    </row>
    <row r="242" spans="2:12" x14ac:dyDescent="0.2">
      <c r="B242" s="38"/>
      <c r="C242" s="60"/>
      <c r="D242" s="60"/>
      <c r="E242" s="60"/>
      <c r="F242" s="60"/>
      <c r="G242" s="61"/>
      <c r="H242" s="62"/>
      <c r="I242" s="62"/>
      <c r="J242" s="62"/>
      <c r="K242" s="62"/>
      <c r="L242" s="62"/>
    </row>
    <row r="243" spans="2:12" x14ac:dyDescent="0.2">
      <c r="B243" s="38"/>
      <c r="C243" s="60"/>
      <c r="D243" s="60"/>
      <c r="E243" s="60"/>
      <c r="F243" s="60"/>
      <c r="G243" s="61"/>
      <c r="H243" s="62"/>
      <c r="I243" s="62"/>
      <c r="J243" s="62"/>
      <c r="K243" s="62"/>
      <c r="L243" s="62"/>
    </row>
    <row r="244" spans="2:12" x14ac:dyDescent="0.2">
      <c r="B244" s="38" t="s">
        <v>78</v>
      </c>
      <c r="C244" s="60">
        <f>'balance sheet1'!C69</f>
        <v>68.7</v>
      </c>
      <c r="D244" s="60">
        <f>'balance sheet1'!D69</f>
        <v>21.27</v>
      </c>
      <c r="E244" s="60">
        <f>'balance sheet1'!E69</f>
        <v>81.73</v>
      </c>
      <c r="F244" s="60">
        <f>'balance sheet1'!F69</f>
        <v>618.02</v>
      </c>
      <c r="G244" s="60">
        <f>'balance sheet1'!G69</f>
        <v>594.74</v>
      </c>
      <c r="H244" s="62">
        <f>G244</f>
        <v>594.74</v>
      </c>
      <c r="I244" s="62">
        <f>H244</f>
        <v>594.74</v>
      </c>
      <c r="J244" s="62">
        <f>I244</f>
        <v>594.74</v>
      </c>
      <c r="K244" s="62">
        <f>J244</f>
        <v>594.74</v>
      </c>
      <c r="L244" s="62">
        <f>K244</f>
        <v>594.74</v>
      </c>
    </row>
    <row r="245" spans="2:12" x14ac:dyDescent="0.2">
      <c r="B245" s="38"/>
      <c r="C245" s="60"/>
      <c r="D245" s="60"/>
      <c r="E245" s="60"/>
      <c r="F245" s="60"/>
      <c r="G245" s="61"/>
      <c r="H245" s="62"/>
      <c r="I245" s="62"/>
      <c r="J245" s="62"/>
      <c r="K245" s="62"/>
      <c r="L245" s="62"/>
    </row>
    <row r="246" spans="2:12" x14ac:dyDescent="0.2">
      <c r="B246" s="46" t="s">
        <v>66</v>
      </c>
      <c r="C246" s="60">
        <v>280.91000000000003</v>
      </c>
      <c r="D246" s="60">
        <v>281.01</v>
      </c>
      <c r="E246" s="60">
        <v>281.10000000000002</v>
      </c>
      <c r="F246" s="60">
        <v>274.93</v>
      </c>
      <c r="G246" s="61">
        <v>275.04000000000002</v>
      </c>
      <c r="H246" s="62">
        <f>G248</f>
        <v>275.04000000000002</v>
      </c>
      <c r="I246" s="62">
        <f>H248</f>
        <v>275.04000000000002</v>
      </c>
      <c r="J246" s="62">
        <f>I248</f>
        <v>275.04000000000002</v>
      </c>
      <c r="K246" s="62">
        <f>J248</f>
        <v>275.04000000000002</v>
      </c>
      <c r="L246" s="62">
        <f>K248</f>
        <v>275.04000000000002</v>
      </c>
    </row>
    <row r="247" spans="2:12" x14ac:dyDescent="0.2">
      <c r="B247" s="38" t="s">
        <v>253</v>
      </c>
      <c r="C247" s="60"/>
      <c r="D247" s="60"/>
      <c r="E247" s="60"/>
      <c r="F247" s="60"/>
      <c r="G247" s="61">
        <v>0</v>
      </c>
      <c r="H247" s="62">
        <v>0</v>
      </c>
      <c r="I247" s="62">
        <v>0</v>
      </c>
      <c r="J247" s="62">
        <v>0</v>
      </c>
      <c r="K247" s="62">
        <v>0</v>
      </c>
      <c r="L247" s="62">
        <v>0</v>
      </c>
    </row>
    <row r="248" spans="2:12" x14ac:dyDescent="0.2">
      <c r="B248" s="102" t="s">
        <v>154</v>
      </c>
      <c r="C248" s="103">
        <f>C246+C247</f>
        <v>280.91000000000003</v>
      </c>
      <c r="D248" s="103">
        <f>D246+D247</f>
        <v>281.01</v>
      </c>
      <c r="E248" s="103">
        <f>E246+E247</f>
        <v>281.10000000000002</v>
      </c>
      <c r="F248" s="103">
        <f>F246+F247</f>
        <v>274.93</v>
      </c>
      <c r="G248" s="104">
        <f t="shared" ref="G248:L248" si="7">G246+G247</f>
        <v>275.04000000000002</v>
      </c>
      <c r="H248" s="105">
        <f>H246+H247</f>
        <v>275.04000000000002</v>
      </c>
      <c r="I248" s="105">
        <f t="shared" si="7"/>
        <v>275.04000000000002</v>
      </c>
      <c r="J248" s="105">
        <f t="shared" si="7"/>
        <v>275.04000000000002</v>
      </c>
      <c r="K248" s="105">
        <f t="shared" si="7"/>
        <v>275.04000000000002</v>
      </c>
      <c r="L248" s="105">
        <f t="shared" si="7"/>
        <v>275.04000000000002</v>
      </c>
    </row>
    <row r="249" spans="2:12" x14ac:dyDescent="0.2">
      <c r="B249" s="38" t="s">
        <v>254</v>
      </c>
      <c r="C249" s="60">
        <v>75587.62</v>
      </c>
      <c r="D249" s="60">
        <v>82126.649999999994</v>
      </c>
      <c r="E249" s="60">
        <v>89044.85</v>
      </c>
      <c r="F249" s="60">
        <v>86084.31</v>
      </c>
      <c r="G249" s="61">
        <v>97380.56</v>
      </c>
      <c r="H249" s="62">
        <f>G249+'income statement'!H25</f>
        <v>110661.24361267778</v>
      </c>
      <c r="I249" s="62">
        <f>H249+'income statement'!I25</f>
        <v>124074.01620654442</v>
      </c>
      <c r="J249" s="62">
        <f>I249+'income statement'!J25</f>
        <v>137245.07490489673</v>
      </c>
      <c r="K249" s="62">
        <f>J249+'income statement'!K25</f>
        <v>148790.37173781323</v>
      </c>
      <c r="L249" s="62">
        <f>K249+'income statement'!L25</f>
        <v>158484.54046846251</v>
      </c>
    </row>
    <row r="250" spans="2:12" x14ac:dyDescent="0.2">
      <c r="B250" s="102" t="s">
        <v>255</v>
      </c>
      <c r="C250" s="103"/>
      <c r="D250" s="103"/>
      <c r="E250" s="103"/>
      <c r="F250" s="103"/>
      <c r="G250" s="104">
        <f t="shared" ref="G250:L250" si="8">G249+G248</f>
        <v>97655.599999999991</v>
      </c>
      <c r="H250" s="105">
        <f t="shared" si="8"/>
        <v>110936.28361267777</v>
      </c>
      <c r="I250" s="105">
        <f t="shared" si="8"/>
        <v>124349.05620654441</v>
      </c>
      <c r="J250" s="105">
        <f t="shared" si="8"/>
        <v>137520.11490489673</v>
      </c>
      <c r="K250" s="105">
        <f t="shared" si="8"/>
        <v>149065.41173781324</v>
      </c>
      <c r="L250" s="105">
        <f t="shared" si="8"/>
        <v>158759.58046846252</v>
      </c>
    </row>
    <row r="251" spans="2:12" x14ac:dyDescent="0.2">
      <c r="B251" s="46" t="s">
        <v>69</v>
      </c>
      <c r="C251" s="106">
        <v>12051.53</v>
      </c>
      <c r="D251" s="106">
        <v>12966.07</v>
      </c>
      <c r="E251" s="106">
        <v>14241.27</v>
      </c>
      <c r="F251" s="106">
        <v>16190.42</v>
      </c>
      <c r="G251" s="107">
        <v>17748.080000000002</v>
      </c>
      <c r="H251" s="108">
        <f>G251</f>
        <v>17748.080000000002</v>
      </c>
      <c r="I251" s="108">
        <f>H251</f>
        <v>17748.080000000002</v>
      </c>
      <c r="J251" s="108">
        <f>I251</f>
        <v>17748.080000000002</v>
      </c>
      <c r="K251" s="108">
        <f>J251</f>
        <v>17748.080000000002</v>
      </c>
      <c r="L251" s="108">
        <f>K251</f>
        <v>17748.080000000002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2163-2FEC-4037-A98A-827E2C1567C7}">
  <sheetPr codeName="Sheet3"/>
  <dimension ref="D4:S34"/>
  <sheetViews>
    <sheetView topLeftCell="C1" workbookViewId="0">
      <selection activeCell="M22" sqref="M22"/>
    </sheetView>
  </sheetViews>
  <sheetFormatPr defaultRowHeight="15" x14ac:dyDescent="0.2"/>
  <cols>
    <col min="18" max="18" width="9.4140625" bestFit="1" customWidth="1"/>
  </cols>
  <sheetData>
    <row r="4" spans="4:19" x14ac:dyDescent="0.2">
      <c r="D4" s="72" t="s">
        <v>193</v>
      </c>
      <c r="E4" s="73" t="s">
        <v>194</v>
      </c>
      <c r="F4" s="73" t="s">
        <v>195</v>
      </c>
      <c r="G4" s="72" t="s">
        <v>196</v>
      </c>
      <c r="Q4" t="s">
        <v>203</v>
      </c>
    </row>
    <row r="5" spans="4:19" x14ac:dyDescent="0.2">
      <c r="D5" s="75">
        <v>1</v>
      </c>
      <c r="E5" s="70">
        <v>42460</v>
      </c>
      <c r="F5" s="76">
        <v>101975</v>
      </c>
      <c r="G5" s="75">
        <v>0</v>
      </c>
      <c r="P5" s="72" t="s">
        <v>198</v>
      </c>
      <c r="Q5" s="73" t="s">
        <v>199</v>
      </c>
      <c r="R5" s="73" t="s">
        <v>200</v>
      </c>
    </row>
    <row r="6" spans="4:19" x14ac:dyDescent="0.2">
      <c r="D6" s="75">
        <v>2</v>
      </c>
      <c r="E6" s="70">
        <v>42825</v>
      </c>
      <c r="F6" s="76">
        <v>110011</v>
      </c>
      <c r="G6" s="81">
        <f t="shared" ref="G6:G14" si="0">F6/F5-1</f>
        <v>7.8803628340279541E-2</v>
      </c>
      <c r="P6" s="75">
        <f>1</f>
        <v>1</v>
      </c>
      <c r="Q6" s="70">
        <v>42460</v>
      </c>
      <c r="R6">
        <v>101975</v>
      </c>
      <c r="S6" s="66">
        <v>0</v>
      </c>
    </row>
    <row r="7" spans="4:19" x14ac:dyDescent="0.2">
      <c r="D7" s="75">
        <v>3</v>
      </c>
      <c r="E7" s="70">
        <v>43190</v>
      </c>
      <c r="F7" s="76">
        <v>119862</v>
      </c>
      <c r="G7" s="81">
        <f t="shared" si="0"/>
        <v>8.9545590895455884E-2</v>
      </c>
      <c r="P7" s="75">
        <f>P6+1</f>
        <v>2</v>
      </c>
      <c r="Q7" s="70">
        <v>42825</v>
      </c>
      <c r="R7">
        <v>110011</v>
      </c>
      <c r="S7" s="66">
        <f>R7/R6-1</f>
        <v>7.8803628340279541E-2</v>
      </c>
    </row>
    <row r="8" spans="4:19" x14ac:dyDescent="0.2">
      <c r="D8" s="75">
        <v>4</v>
      </c>
      <c r="E8" s="70">
        <v>43555</v>
      </c>
      <c r="F8" s="76">
        <v>135220</v>
      </c>
      <c r="G8" s="81">
        <f t="shared" si="0"/>
        <v>0.12813068361949576</v>
      </c>
      <c r="P8" s="75">
        <f t="shared" ref="P8:P15" si="1">P7+1</f>
        <v>3</v>
      </c>
      <c r="Q8" s="70">
        <v>43190</v>
      </c>
      <c r="R8">
        <v>119862</v>
      </c>
      <c r="S8" s="66">
        <f t="shared" ref="S8:S20" si="2">R8/R7-1</f>
        <v>8.9545590895455884E-2</v>
      </c>
    </row>
    <row r="9" spans="4:19" x14ac:dyDescent="0.2">
      <c r="D9" s="75">
        <v>5</v>
      </c>
      <c r="E9" s="70">
        <v>43921</v>
      </c>
      <c r="F9" s="76">
        <v>145452</v>
      </c>
      <c r="G9" s="81">
        <f t="shared" si="0"/>
        <v>7.5669279692353264E-2</v>
      </c>
      <c r="P9" s="75">
        <f t="shared" si="1"/>
        <v>4</v>
      </c>
      <c r="Q9" s="70">
        <v>43555</v>
      </c>
      <c r="R9">
        <v>135220</v>
      </c>
      <c r="S9" s="66">
        <f t="shared" si="2"/>
        <v>0.12813068361949576</v>
      </c>
    </row>
    <row r="10" spans="4:19" x14ac:dyDescent="0.2">
      <c r="D10" s="75">
        <v>6</v>
      </c>
      <c r="E10" s="70">
        <v>44286</v>
      </c>
      <c r="F10" s="76">
        <v>135979</v>
      </c>
      <c r="G10" s="81">
        <f t="shared" si="0"/>
        <v>-6.5128014740257978E-2</v>
      </c>
      <c r="L10" t="s">
        <v>197</v>
      </c>
      <c r="P10" s="75">
        <f t="shared" si="1"/>
        <v>5</v>
      </c>
      <c r="Q10" s="70">
        <v>43921</v>
      </c>
      <c r="R10">
        <v>145452</v>
      </c>
      <c r="S10" s="66">
        <f t="shared" si="2"/>
        <v>7.5669279692353264E-2</v>
      </c>
    </row>
    <row r="11" spans="4:19" x14ac:dyDescent="0.2">
      <c r="D11" s="75">
        <v>7</v>
      </c>
      <c r="E11" s="70">
        <v>44651</v>
      </c>
      <c r="F11" s="76">
        <v>156521</v>
      </c>
      <c r="G11" s="81">
        <f t="shared" si="0"/>
        <v>0.15106744423771312</v>
      </c>
      <c r="K11" s="72" t="s">
        <v>198</v>
      </c>
      <c r="L11" s="73" t="s">
        <v>199</v>
      </c>
      <c r="M11" s="73" t="s">
        <v>200</v>
      </c>
      <c r="N11" s="74"/>
      <c r="P11" s="75">
        <f t="shared" si="1"/>
        <v>6</v>
      </c>
      <c r="Q11" s="70">
        <v>44286</v>
      </c>
      <c r="R11">
        <v>135979</v>
      </c>
      <c r="S11" s="66">
        <f t="shared" si="2"/>
        <v>-6.5128014740257978E-2</v>
      </c>
    </row>
    <row r="12" spans="4:19" x14ac:dyDescent="0.2">
      <c r="D12" s="75">
        <v>8</v>
      </c>
      <c r="E12" s="70">
        <v>45016</v>
      </c>
      <c r="F12" s="76">
        <v>183341</v>
      </c>
      <c r="G12" s="81">
        <f t="shared" si="0"/>
        <v>0.17135080915659873</v>
      </c>
      <c r="K12" s="75">
        <f>1</f>
        <v>1</v>
      </c>
      <c r="L12" s="70">
        <v>42460</v>
      </c>
      <c r="M12" s="76">
        <v>101975</v>
      </c>
      <c r="N12" s="77"/>
      <c r="P12" s="75">
        <f t="shared" si="1"/>
        <v>7</v>
      </c>
      <c r="Q12" s="70">
        <v>44651</v>
      </c>
      <c r="R12">
        <v>156521</v>
      </c>
      <c r="S12" s="66">
        <f t="shared" si="2"/>
        <v>0.15106744423771312</v>
      </c>
    </row>
    <row r="13" spans="4:19" x14ac:dyDescent="0.2">
      <c r="D13" s="75">
        <v>9</v>
      </c>
      <c r="E13" s="70">
        <v>45382</v>
      </c>
      <c r="F13" s="79">
        <v>221113</v>
      </c>
      <c r="G13" s="81">
        <f t="shared" si="0"/>
        <v>0.20602047550738778</v>
      </c>
      <c r="K13" s="75">
        <f>K12+1</f>
        <v>2</v>
      </c>
      <c r="L13" s="70">
        <v>42825</v>
      </c>
      <c r="M13" s="76">
        <v>110011</v>
      </c>
      <c r="N13" s="78"/>
      <c r="P13" s="75">
        <f t="shared" si="1"/>
        <v>8</v>
      </c>
      <c r="Q13" s="70">
        <v>45016</v>
      </c>
      <c r="R13">
        <v>183341</v>
      </c>
      <c r="S13" s="66">
        <f t="shared" si="2"/>
        <v>0.17135080915659873</v>
      </c>
    </row>
    <row r="14" spans="4:19" x14ac:dyDescent="0.2">
      <c r="D14" s="75">
        <v>10</v>
      </c>
      <c r="E14" s="70">
        <v>45747</v>
      </c>
      <c r="F14" s="79">
        <v>255734</v>
      </c>
      <c r="G14" s="81">
        <f t="shared" si="0"/>
        <v>0.15657604935033209</v>
      </c>
      <c r="K14" s="75">
        <f t="shared" ref="K14:K21" si="3">K13+1</f>
        <v>3</v>
      </c>
      <c r="L14" s="70">
        <v>43190</v>
      </c>
      <c r="M14" s="76">
        <v>119862</v>
      </c>
      <c r="N14" s="78"/>
      <c r="P14" s="75">
        <f t="shared" si="1"/>
        <v>9</v>
      </c>
      <c r="Q14" s="70">
        <v>45382</v>
      </c>
      <c r="R14">
        <v>221113</v>
      </c>
      <c r="S14" s="66">
        <f t="shared" si="2"/>
        <v>0.20602047550738778</v>
      </c>
    </row>
    <row r="15" spans="4:19" x14ac:dyDescent="0.2">
      <c r="D15" s="75">
        <v>11</v>
      </c>
      <c r="E15" s="70">
        <v>46112</v>
      </c>
      <c r="F15" s="79">
        <f>F14*(1+G15)</f>
        <v>299529.39232537628</v>
      </c>
      <c r="G15" s="81">
        <f>AVERAGE(G11:G14)</f>
        <v>0.17125369456300793</v>
      </c>
      <c r="K15" s="75">
        <f t="shared" si="3"/>
        <v>4</v>
      </c>
      <c r="L15" s="70">
        <v>43555</v>
      </c>
      <c r="M15" s="76">
        <v>135220</v>
      </c>
      <c r="N15" s="78"/>
      <c r="P15" s="75">
        <f t="shared" si="1"/>
        <v>10</v>
      </c>
      <c r="Q15" s="70">
        <v>45747</v>
      </c>
      <c r="R15">
        <v>255734</v>
      </c>
      <c r="S15" s="66">
        <f t="shared" si="2"/>
        <v>0.15657604935033209</v>
      </c>
    </row>
    <row r="16" spans="4:19" x14ac:dyDescent="0.2">
      <c r="D16" s="75">
        <v>12</v>
      </c>
      <c r="E16" s="70">
        <v>46477</v>
      </c>
      <c r="F16" s="79">
        <f>F15*(1+G16)</f>
        <v>352336.50121462549</v>
      </c>
      <c r="G16" s="81">
        <f>AVERAGE(G12:G15)</f>
        <v>0.17630025714433162</v>
      </c>
      <c r="K16" s="75">
        <f t="shared" si="3"/>
        <v>5</v>
      </c>
      <c r="L16" s="70">
        <v>43921</v>
      </c>
      <c r="M16" s="76">
        <v>145452</v>
      </c>
      <c r="N16" s="78"/>
      <c r="P16" s="75">
        <f>P15+1</f>
        <v>11</v>
      </c>
      <c r="Q16" s="70">
        <v>46112</v>
      </c>
      <c r="R16" s="80">
        <f>_xlfn.FORECAST.LINEAR(P16,R6:R15,P6:P15)</f>
        <v>240966.46666666667</v>
      </c>
      <c r="S16" s="66">
        <f t="shared" si="2"/>
        <v>-5.7745678452350235E-2</v>
      </c>
    </row>
    <row r="17" spans="4:19" x14ac:dyDescent="0.2">
      <c r="D17" s="75">
        <v>13</v>
      </c>
      <c r="E17" s="70">
        <v>46843</v>
      </c>
      <c r="F17" s="79">
        <f>F16*(1+G17)</f>
        <v>414889.48477683344</v>
      </c>
      <c r="G17" s="81">
        <f>AVERAGE(G13:G16)</f>
        <v>0.17753761914126484</v>
      </c>
      <c r="K17" s="75">
        <f t="shared" si="3"/>
        <v>6</v>
      </c>
      <c r="L17" s="70">
        <v>44286</v>
      </c>
      <c r="M17" s="76">
        <v>135979</v>
      </c>
      <c r="N17" s="78" t="s">
        <v>201</v>
      </c>
      <c r="P17" s="75">
        <f>P16+1</f>
        <v>12</v>
      </c>
      <c r="Q17" s="70">
        <v>46477</v>
      </c>
      <c r="R17" s="80">
        <f>_xlfn.FORECAST.LINEAR(P17,R7:R16,P7:P16)</f>
        <v>260199.18666666668</v>
      </c>
      <c r="S17" s="66">
        <f t="shared" si="2"/>
        <v>7.981492307228355E-2</v>
      </c>
    </row>
    <row r="18" spans="4:19" x14ac:dyDescent="0.2">
      <c r="D18" s="75">
        <v>14</v>
      </c>
      <c r="E18" s="70">
        <v>47208</v>
      </c>
      <c r="F18" s="79">
        <f>F17*(1+G18)</f>
        <v>485593.66671018017</v>
      </c>
      <c r="G18" s="81">
        <f>AVERAGE(G14:G17)</f>
        <v>0.17041690504973414</v>
      </c>
      <c r="K18" s="75">
        <f t="shared" si="3"/>
        <v>7</v>
      </c>
      <c r="L18" s="70">
        <v>44651</v>
      </c>
      <c r="M18" s="76">
        <v>156521</v>
      </c>
      <c r="N18" s="78"/>
      <c r="P18" s="75">
        <f>P17+1</f>
        <v>13</v>
      </c>
      <c r="Q18" s="70">
        <v>46843</v>
      </c>
      <c r="R18" s="80">
        <f>_xlfn.FORECAST.LINEAR(P18,R8:R17,P8:P17)</f>
        <v>280001.83022222226</v>
      </c>
      <c r="S18" s="66">
        <f t="shared" si="2"/>
        <v>7.610570889648538E-2</v>
      </c>
    </row>
    <row r="19" spans="4:19" x14ac:dyDescent="0.2">
      <c r="D19" s="75">
        <v>15</v>
      </c>
      <c r="E19" s="70">
        <v>47573</v>
      </c>
      <c r="F19" s="79">
        <f>F18*(1+G19)</f>
        <v>570027.29447005095</v>
      </c>
      <c r="G19" s="81">
        <f>AVERAGE(G15:G18)</f>
        <v>0.17387711897458463</v>
      </c>
      <c r="K19" s="75">
        <f t="shared" si="3"/>
        <v>8</v>
      </c>
      <c r="L19" s="70">
        <v>45016</v>
      </c>
      <c r="M19" s="76">
        <v>183341</v>
      </c>
      <c r="N19" s="78"/>
      <c r="P19" s="75">
        <f>P18+1</f>
        <v>14</v>
      </c>
      <c r="Q19" s="70">
        <v>47208</v>
      </c>
      <c r="R19" s="80">
        <f>_xlfn.FORECAST.LINEAR(P19,R9:R18,P9:P18)</f>
        <v>300339.91875555564</v>
      </c>
      <c r="S19" s="66">
        <f t="shared" si="2"/>
        <v>7.2635555693304488E-2</v>
      </c>
    </row>
    <row r="20" spans="4:19" x14ac:dyDescent="0.2">
      <c r="E20" s="70"/>
      <c r="G20" s="71"/>
      <c r="K20" s="75">
        <f t="shared" si="3"/>
        <v>9</v>
      </c>
      <c r="L20" s="70">
        <v>45382</v>
      </c>
      <c r="M20" s="79">
        <v>221113</v>
      </c>
      <c r="N20" s="66"/>
      <c r="P20" s="75">
        <f>P19+1</f>
        <v>15</v>
      </c>
      <c r="Q20" s="70">
        <v>47573</v>
      </c>
      <c r="R20" s="80">
        <f>_xlfn.FORECAST.LINEAR(P20,R10:R19,P10:P19)</f>
        <v>322232.72068740748</v>
      </c>
      <c r="S20" s="66">
        <f t="shared" si="2"/>
        <v>7.28934136446584E-2</v>
      </c>
    </row>
    <row r="21" spans="4:19" x14ac:dyDescent="0.2">
      <c r="K21" s="75">
        <f t="shared" si="3"/>
        <v>10</v>
      </c>
      <c r="L21" s="70">
        <v>45747</v>
      </c>
      <c r="M21" s="79">
        <v>255734</v>
      </c>
      <c r="N21" s="78" t="s">
        <v>202</v>
      </c>
    </row>
    <row r="22" spans="4:19" x14ac:dyDescent="0.2">
      <c r="K22" s="75">
        <f>K21+1</f>
        <v>11</v>
      </c>
      <c r="L22" s="70">
        <v>46112</v>
      </c>
      <c r="M22" s="79">
        <f>M21*(1+N22)</f>
        <v>290169.5240058754</v>
      </c>
      <c r="N22" s="66">
        <f>_xlfn.RRI(5,M17,M21)</f>
        <v>0.13465367923653249</v>
      </c>
    </row>
    <row r="23" spans="4:19" x14ac:dyDescent="0.2">
      <c r="K23" s="75">
        <f>K22+1</f>
        <v>12</v>
      </c>
      <c r="L23" s="70">
        <v>46477</v>
      </c>
      <c r="M23" s="79">
        <f>M22*(1+N23)</f>
        <v>328297.54416349408</v>
      </c>
      <c r="N23" s="66">
        <f>_xlfn.RRI(5,M18,M22)</f>
        <v>0.1313991201806799</v>
      </c>
    </row>
    <row r="24" spans="4:19" x14ac:dyDescent="0.2">
      <c r="K24" s="75">
        <f>K23+1</f>
        <v>13</v>
      </c>
      <c r="L24" s="70">
        <v>46843</v>
      </c>
      <c r="M24" s="79">
        <f>M23*(1+N24)</f>
        <v>368866.52267921134</v>
      </c>
      <c r="N24" s="66">
        <f>_xlfn.RRI(5,M19,M23)</f>
        <v>0.12357381051718641</v>
      </c>
    </row>
    <row r="25" spans="4:19" x14ac:dyDescent="0.2">
      <c r="F25" s="65"/>
      <c r="H25" s="66"/>
      <c r="K25" s="75">
        <f>K24+1</f>
        <v>14</v>
      </c>
      <c r="L25" s="70">
        <v>47208</v>
      </c>
      <c r="M25" s="79">
        <f>M24*(1+N25)</f>
        <v>408620.57873312372</v>
      </c>
      <c r="N25" s="66">
        <f>_xlfn.RRI(5,M20,M24)</f>
        <v>0.10777355387299514</v>
      </c>
    </row>
    <row r="26" spans="4:19" x14ac:dyDescent="0.2">
      <c r="F26" s="65"/>
      <c r="H26" s="66"/>
      <c r="K26" s="75">
        <f>K25+1</f>
        <v>15</v>
      </c>
      <c r="L26" s="70">
        <v>47573</v>
      </c>
      <c r="M26" s="79">
        <f>M25*(1+N26)</f>
        <v>448772.86259443936</v>
      </c>
      <c r="N26" s="66">
        <f>_xlfn.RRI(5,M21,M25)</f>
        <v>9.8262999836676634E-2</v>
      </c>
    </row>
    <row r="27" spans="4:19" x14ac:dyDescent="0.2">
      <c r="F27" s="65"/>
      <c r="H27" s="66"/>
      <c r="K27" s="67"/>
      <c r="L27" s="68"/>
    </row>
    <row r="28" spans="4:19" x14ac:dyDescent="0.2">
      <c r="F28" s="65"/>
      <c r="H28" s="66"/>
      <c r="K28" s="67"/>
      <c r="L28" s="68"/>
    </row>
    <row r="29" spans="4:19" x14ac:dyDescent="0.2">
      <c r="F29" s="65"/>
      <c r="H29" s="66"/>
      <c r="K29" s="67"/>
      <c r="L29" s="68"/>
    </row>
    <row r="30" spans="4:19" x14ac:dyDescent="0.2">
      <c r="F30" s="70"/>
      <c r="H30" s="71"/>
      <c r="K30" s="67"/>
      <c r="L30" s="68"/>
    </row>
    <row r="31" spans="4:19" x14ac:dyDescent="0.2">
      <c r="F31" s="70"/>
      <c r="H31" s="71"/>
      <c r="K31" s="67"/>
      <c r="L31" s="68"/>
    </row>
    <row r="32" spans="4:19" x14ac:dyDescent="0.2">
      <c r="F32" s="70"/>
      <c r="H32" s="71"/>
      <c r="K32" s="67"/>
      <c r="L32" s="68"/>
    </row>
    <row r="33" spans="6:12" x14ac:dyDescent="0.2">
      <c r="F33" s="70"/>
      <c r="H33" s="71"/>
      <c r="K33" s="67"/>
      <c r="L33" s="68"/>
    </row>
    <row r="34" spans="6:12" x14ac:dyDescent="0.2">
      <c r="F34" s="70"/>
      <c r="H34" s="71"/>
      <c r="K34" s="67"/>
      <c r="L34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8D94-5E81-4A34-BAC6-70EEDA489AD7}">
  <sheetPr codeName="Sheet4">
    <tabColor theme="5" tint="0.59999389629810485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61D6-43FE-44F3-824F-5140D26DD075}">
  <sheetPr codeName="Sheet5"/>
  <dimension ref="B2:L72"/>
  <sheetViews>
    <sheetView workbookViewId="0">
      <pane xSplit="1" ySplit="5" topLeftCell="B22" activePane="bottomRight" state="frozen"/>
      <selection pane="bottomLeft" activeCell="A5" sqref="A5"/>
      <selection pane="topRight" activeCell="B1" sqref="B1"/>
      <selection pane="bottomRight" activeCell="C7" sqref="C7"/>
    </sheetView>
  </sheetViews>
  <sheetFormatPr defaultRowHeight="15" x14ac:dyDescent="0.2"/>
  <cols>
    <col min="1" max="1" width="2.015625" customWidth="1"/>
    <col min="2" max="2" width="55.5546875" bestFit="1" customWidth="1"/>
    <col min="3" max="12" width="12.23828125" customWidth="1"/>
  </cols>
  <sheetData>
    <row r="2" spans="2:12" x14ac:dyDescent="0.2">
      <c r="L2" s="33" t="s">
        <v>120</v>
      </c>
    </row>
    <row r="3" spans="2:12" ht="29.25" x14ac:dyDescent="0.4">
      <c r="B3" s="5" t="s">
        <v>121</v>
      </c>
    </row>
    <row r="4" spans="2:12" x14ac:dyDescent="0.2">
      <c r="B4" t="s">
        <v>122</v>
      </c>
    </row>
    <row r="5" spans="2:12" x14ac:dyDescent="0.2">
      <c r="B5" s="34" t="s">
        <v>123</v>
      </c>
      <c r="C5" s="34">
        <v>44389</v>
      </c>
      <c r="D5" s="34">
        <f>C5+365</f>
        <v>44754</v>
      </c>
      <c r="E5" s="34">
        <f>D5+365</f>
        <v>45119</v>
      </c>
      <c r="F5" s="34">
        <f t="shared" ref="F5:L5" si="0">E5+365</f>
        <v>45484</v>
      </c>
      <c r="G5" s="109">
        <f t="shared" si="0"/>
        <v>45849</v>
      </c>
      <c r="H5" s="35">
        <f t="shared" si="0"/>
        <v>46214</v>
      </c>
      <c r="I5" s="35">
        <f t="shared" si="0"/>
        <v>46579</v>
      </c>
      <c r="J5" s="35">
        <f t="shared" si="0"/>
        <v>46944</v>
      </c>
      <c r="K5" s="35">
        <f t="shared" si="0"/>
        <v>47309</v>
      </c>
      <c r="L5" s="35">
        <f t="shared" si="0"/>
        <v>47674</v>
      </c>
    </row>
    <row r="6" spans="2:12" x14ac:dyDescent="0.2">
      <c r="B6" s="178" t="s">
        <v>124</v>
      </c>
      <c r="C6" s="185">
        <f>'p&amp;l'!C5</f>
        <v>135979.03</v>
      </c>
      <c r="D6" s="185">
        <f>'p&amp;l'!D5</f>
        <v>156521.23000000001</v>
      </c>
      <c r="E6" s="185">
        <f>'p&amp;l'!E5</f>
        <v>183340.7</v>
      </c>
      <c r="F6" s="185">
        <f>'p&amp;l'!F5</f>
        <v>221112.91</v>
      </c>
      <c r="G6" s="185">
        <f>'p&amp;l'!G5</f>
        <v>255734.45</v>
      </c>
      <c r="H6" s="247">
        <f>G6*(1+'p&amp;L drivers'!H7)</f>
        <v>287612.69010003109</v>
      </c>
      <c r="I6" s="247">
        <f>H6*(1+'p&amp;L drivers'!I7)</f>
        <v>322528.6176309734</v>
      </c>
      <c r="J6" s="247">
        <f>I6*(1+'p&amp;L drivers'!J7)</f>
        <v>359159.42173616361</v>
      </c>
      <c r="K6" s="247">
        <f>J6*(1+'p&amp;L drivers'!K7)</f>
        <v>394275.71480627818</v>
      </c>
      <c r="L6" s="247">
        <f>K6*(1+'p&amp;L drivers'!L7)</f>
        <v>429075.67215783027</v>
      </c>
    </row>
    <row r="7" spans="2:12" x14ac:dyDescent="0.2">
      <c r="B7" s="178" t="s">
        <v>125</v>
      </c>
      <c r="C7" s="185">
        <f>'p&amp;l'!C6</f>
        <v>3429.35</v>
      </c>
      <c r="D7" s="185">
        <f>'p&amp;l'!D6</f>
        <v>2267.08</v>
      </c>
      <c r="E7" s="185">
        <f>'p&amp;l'!E6</f>
        <v>2929.17</v>
      </c>
      <c r="F7" s="185">
        <f>'p&amp;l'!F6</f>
        <v>4158.03</v>
      </c>
      <c r="G7" s="185">
        <f>'p&amp;l'!G6</f>
        <v>4124.82</v>
      </c>
      <c r="H7" s="247">
        <f>G7</f>
        <v>4124.82</v>
      </c>
      <c r="I7" s="247">
        <f>H7</f>
        <v>4124.82</v>
      </c>
      <c r="J7" s="247">
        <f>I7</f>
        <v>4124.82</v>
      </c>
      <c r="K7" s="247">
        <f>J7</f>
        <v>4124.82</v>
      </c>
      <c r="L7" s="247">
        <f>K7</f>
        <v>4124.82</v>
      </c>
    </row>
    <row r="8" spans="2:12" x14ac:dyDescent="0.2">
      <c r="B8" s="179" t="s">
        <v>126</v>
      </c>
      <c r="C8" s="186">
        <f t="shared" ref="C8:L8" si="1">SUM(C6:C7)</f>
        <v>139408.38</v>
      </c>
      <c r="D8" s="186">
        <f t="shared" si="1"/>
        <v>158788.31</v>
      </c>
      <c r="E8" s="186">
        <f t="shared" si="1"/>
        <v>186269.87000000002</v>
      </c>
      <c r="F8" s="186">
        <f t="shared" si="1"/>
        <v>225270.94</v>
      </c>
      <c r="G8" s="186">
        <f t="shared" si="1"/>
        <v>259859.27000000002</v>
      </c>
      <c r="H8" s="248">
        <f t="shared" si="1"/>
        <v>291737.5101000311</v>
      </c>
      <c r="I8" s="248">
        <f t="shared" si="1"/>
        <v>326653.43763097341</v>
      </c>
      <c r="J8" s="248">
        <f t="shared" si="1"/>
        <v>363284.24173616362</v>
      </c>
      <c r="K8" s="248">
        <f t="shared" si="1"/>
        <v>398400.53480627818</v>
      </c>
      <c r="L8" s="248">
        <f t="shared" si="1"/>
        <v>433200.49215783027</v>
      </c>
    </row>
    <row r="9" spans="2:12" x14ac:dyDescent="0.2">
      <c r="B9" s="178" t="s">
        <v>127</v>
      </c>
      <c r="C9" s="185">
        <f>SUM('p&amp;l'!C9:C15)</f>
        <v>79009.859999999986</v>
      </c>
      <c r="D9" s="185">
        <f>SUM('p&amp;l'!D9:D15)</f>
        <v>93785.97</v>
      </c>
      <c r="E9" s="185">
        <f>SUM('p&amp;l'!E9:E15)</f>
        <v>110588.83</v>
      </c>
      <c r="F9" s="185">
        <f>SUM('p&amp;l'!F9:F15)</f>
        <v>140313.92000000001</v>
      </c>
      <c r="G9" s="185">
        <f>SUM('p&amp;l'!G9:G15)</f>
        <v>164670.66999999998</v>
      </c>
      <c r="H9" s="247">
        <f>H6*'p&amp;L drivers'!H13</f>
        <v>184757.51661808495</v>
      </c>
      <c r="I9" s="247">
        <f>I6*'p&amp;L drivers'!I13</f>
        <v>209208.43587589159</v>
      </c>
      <c r="J9" s="247">
        <f>J6*'p&amp;L drivers'!J13</f>
        <v>234366.93232928176</v>
      </c>
      <c r="K9" s="247">
        <f>K6*'p&amp;L drivers'!K13</f>
        <v>258808.08846809913</v>
      </c>
      <c r="L9" s="247">
        <f>L6*'p&amp;L drivers'!L13</f>
        <v>280950.4632819547</v>
      </c>
    </row>
    <row r="10" spans="2:12" x14ac:dyDescent="0.2">
      <c r="B10" s="180" t="s">
        <v>128</v>
      </c>
      <c r="C10" s="187">
        <f t="shared" ref="C10:L10" si="2">C8-C9</f>
        <v>60398.520000000019</v>
      </c>
      <c r="D10" s="187">
        <f t="shared" si="2"/>
        <v>65002.34</v>
      </c>
      <c r="E10" s="187">
        <f t="shared" si="2"/>
        <v>75681.040000000023</v>
      </c>
      <c r="F10" s="187">
        <f t="shared" si="2"/>
        <v>84957.01999999999</v>
      </c>
      <c r="G10" s="187">
        <f t="shared" si="2"/>
        <v>95188.600000000035</v>
      </c>
      <c r="H10" s="249">
        <f t="shared" si="2"/>
        <v>106979.99348194615</v>
      </c>
      <c r="I10" s="249">
        <f t="shared" si="2"/>
        <v>117445.00175508182</v>
      </c>
      <c r="J10" s="249">
        <f t="shared" si="2"/>
        <v>128917.30940688186</v>
      </c>
      <c r="K10" s="249">
        <f t="shared" si="2"/>
        <v>139592.44633817906</v>
      </c>
      <c r="L10" s="249">
        <f t="shared" si="2"/>
        <v>152250.02887587558</v>
      </c>
    </row>
    <row r="11" spans="2:12" x14ac:dyDescent="0.2">
      <c r="B11" s="178" t="s">
        <v>20</v>
      </c>
      <c r="C11" s="185">
        <f>'p&amp;l'!C18</f>
        <v>24750.54</v>
      </c>
      <c r="D11" s="185">
        <f>'p&amp;l'!D18</f>
        <v>29733.53</v>
      </c>
      <c r="E11" s="185">
        <f>'p&amp;l'!E18</f>
        <v>37214.11</v>
      </c>
      <c r="F11" s="185">
        <f>'p&amp;l'!F18</f>
        <v>41171.019999999997</v>
      </c>
      <c r="G11" s="185">
        <f>'p&amp;l'!G18</f>
        <v>46768.68</v>
      </c>
      <c r="H11" s="247">
        <f>G11*(1+'p&amp;L drivers'!H19)</f>
        <v>54897.138234694954</v>
      </c>
      <c r="I11" s="247">
        <f>H11*(1+'p&amp;L drivers'!I19)</f>
        <v>64438.333225551942</v>
      </c>
      <c r="J11" s="247">
        <f>I11*(1+'p&amp;L drivers'!J19)</f>
        <v>75637.800483068189</v>
      </c>
      <c r="K11" s="247">
        <f>J11*(1+'p&amp;L drivers'!K19)</f>
        <v>88783.749913131411</v>
      </c>
      <c r="L11" s="247">
        <f>K11*(1+'p&amp;L drivers'!L19)</f>
        <v>104214.48268319228</v>
      </c>
    </row>
    <row r="12" spans="2:12" x14ac:dyDescent="0.2">
      <c r="B12" s="181" t="s">
        <v>129</v>
      </c>
      <c r="C12" s="185">
        <f>'p&amp;l'!C16</f>
        <v>7691.04</v>
      </c>
      <c r="D12" s="185">
        <f>'p&amp;l'!D16</f>
        <v>5952.54</v>
      </c>
      <c r="E12" s="185">
        <f>'p&amp;l'!E16</f>
        <v>6026.44</v>
      </c>
      <c r="F12" s="185">
        <f>'p&amp;l'!F16</f>
        <v>5714.9</v>
      </c>
      <c r="G12" s="185">
        <f>'p&amp;l'!G16</f>
        <v>6302.23</v>
      </c>
      <c r="H12" s="247">
        <f>'p&amp;L drivers'!H22</f>
        <v>6302.23</v>
      </c>
      <c r="I12" s="247">
        <f>'p&amp;L drivers'!I22</f>
        <v>6302.23</v>
      </c>
      <c r="J12" s="247">
        <f>'p&amp;L drivers'!J22</f>
        <v>6302.23</v>
      </c>
      <c r="K12" s="247">
        <f>'p&amp;L drivers'!K22</f>
        <v>6302.23</v>
      </c>
      <c r="L12" s="247">
        <f>'p&amp;L drivers'!L22</f>
        <v>6302.23</v>
      </c>
    </row>
    <row r="13" spans="2:12" x14ac:dyDescent="0.2">
      <c r="B13" s="178" t="s">
        <v>21</v>
      </c>
      <c r="C13" s="185">
        <f>'p&amp;l'!C19</f>
        <v>8903.49</v>
      </c>
      <c r="D13" s="185">
        <f>'p&amp;l'!D19</f>
        <v>8831.89</v>
      </c>
      <c r="E13" s="185">
        <f>'p&amp;l'!E19</f>
        <v>8758.0400000000009</v>
      </c>
      <c r="F13" s="185">
        <f>'p&amp;l'!F19</f>
        <v>10419.42</v>
      </c>
      <c r="G13" s="185">
        <f>'p&amp;l'!G19</f>
        <v>11558.13</v>
      </c>
      <c r="H13" s="247">
        <f>G13*(1+'p&amp;L drivers'!H20)</f>
        <v>12821.286510851849</v>
      </c>
      <c r="I13" s="247">
        <f>H13*(1+'p&amp;L drivers'!I20)</f>
        <v>14222.489952384303</v>
      </c>
      <c r="J13" s="247">
        <f>I13*(1+'p&amp;L drivers'!J20)</f>
        <v>15776.827097223413</v>
      </c>
      <c r="K13" s="247">
        <f>J13*(1+'p&amp;L drivers'!K20)</f>
        <v>17501.033510236735</v>
      </c>
      <c r="L13" s="247">
        <f>K13*(1+'p&amp;L drivers'!L20)</f>
        <v>19413.673740541461</v>
      </c>
    </row>
    <row r="14" spans="2:12" x14ac:dyDescent="0.2">
      <c r="B14" s="179" t="s">
        <v>130</v>
      </c>
      <c r="C14" s="186">
        <f t="shared" ref="C14:L14" si="3">SUM(C11:C13)</f>
        <v>41345.07</v>
      </c>
      <c r="D14" s="186">
        <f t="shared" si="3"/>
        <v>44517.96</v>
      </c>
      <c r="E14" s="186">
        <f t="shared" si="3"/>
        <v>51998.590000000004</v>
      </c>
      <c r="F14" s="186">
        <f t="shared" si="3"/>
        <v>57305.34</v>
      </c>
      <c r="G14" s="186">
        <f t="shared" si="3"/>
        <v>64629.04</v>
      </c>
      <c r="H14" s="248">
        <f t="shared" si="3"/>
        <v>74020.654745546795</v>
      </c>
      <c r="I14" s="248">
        <f t="shared" si="3"/>
        <v>84963.05317793625</v>
      </c>
      <c r="J14" s="248">
        <f t="shared" si="3"/>
        <v>97716.857580291602</v>
      </c>
      <c r="K14" s="248">
        <f t="shared" si="3"/>
        <v>112587.01342336815</v>
      </c>
      <c r="L14" s="248">
        <f t="shared" si="3"/>
        <v>129930.38642373374</v>
      </c>
    </row>
    <row r="15" spans="2:12" x14ac:dyDescent="0.2">
      <c r="B15" s="179" t="s">
        <v>131</v>
      </c>
      <c r="C15" s="186">
        <f t="shared" ref="C15:L15" si="4">C10-C14</f>
        <v>19053.450000000019</v>
      </c>
      <c r="D15" s="186">
        <f t="shared" si="4"/>
        <v>20484.379999999997</v>
      </c>
      <c r="E15" s="186">
        <f t="shared" si="4"/>
        <v>23682.450000000019</v>
      </c>
      <c r="F15" s="186">
        <f t="shared" si="4"/>
        <v>27651.679999999993</v>
      </c>
      <c r="G15" s="186">
        <f t="shared" si="4"/>
        <v>30559.560000000034</v>
      </c>
      <c r="H15" s="248">
        <f t="shared" si="4"/>
        <v>32959.338736399353</v>
      </c>
      <c r="I15" s="248">
        <f t="shared" si="4"/>
        <v>32481.948577145566</v>
      </c>
      <c r="J15" s="248">
        <f t="shared" si="4"/>
        <v>31200.451826590259</v>
      </c>
      <c r="K15" s="248">
        <f t="shared" si="4"/>
        <v>27005.43291481091</v>
      </c>
      <c r="L15" s="248">
        <f t="shared" si="4"/>
        <v>22319.642452141838</v>
      </c>
    </row>
    <row r="16" spans="2:12" x14ac:dyDescent="0.2">
      <c r="B16" s="178" t="s">
        <v>23</v>
      </c>
      <c r="C16" s="185">
        <f>'p&amp;l'!C21</f>
        <v>2904.21</v>
      </c>
      <c r="D16" s="185">
        <f>'p&amp;l'!D21</f>
        <v>2947.95</v>
      </c>
      <c r="E16" s="185">
        <f>'p&amp;l'!E21</f>
        <v>3502.25</v>
      </c>
      <c r="F16" s="185">
        <f>'p&amp;l'!F21</f>
        <v>3682.33</v>
      </c>
      <c r="G16" s="185">
        <f>'p&amp;l'!G21</f>
        <v>4121.18</v>
      </c>
      <c r="H16" s="247">
        <f>'bs drivers'!H186</f>
        <v>1111.1422814181999</v>
      </c>
      <c r="I16" s="247">
        <f>'bs drivers'!I186</f>
        <v>1100.9859418711148</v>
      </c>
      <c r="J16" s="247">
        <f>'bs drivers'!J186</f>
        <v>1078.0277255904814</v>
      </c>
      <c r="K16" s="247">
        <f>'bs drivers'!K186</f>
        <v>1071.4436973230461</v>
      </c>
      <c r="L16" s="247">
        <f>'bs drivers'!L186</f>
        <v>1051.1667519152306</v>
      </c>
    </row>
    <row r="17" spans="2:12" x14ac:dyDescent="0.2">
      <c r="B17" s="179" t="s">
        <v>132</v>
      </c>
      <c r="C17" s="186">
        <f t="shared" ref="C17:L17" si="5">C15-C16</f>
        <v>16149.24000000002</v>
      </c>
      <c r="D17" s="186">
        <f t="shared" si="5"/>
        <v>17536.429999999997</v>
      </c>
      <c r="E17" s="186">
        <f t="shared" si="5"/>
        <v>20180.200000000019</v>
      </c>
      <c r="F17" s="186">
        <f t="shared" si="5"/>
        <v>23969.349999999991</v>
      </c>
      <c r="G17" s="186">
        <f t="shared" si="5"/>
        <v>26438.380000000034</v>
      </c>
      <c r="H17" s="248">
        <f t="shared" si="5"/>
        <v>31848.196454981153</v>
      </c>
      <c r="I17" s="248">
        <f t="shared" si="5"/>
        <v>31380.962635274453</v>
      </c>
      <c r="J17" s="248">
        <f t="shared" si="5"/>
        <v>30122.424100999779</v>
      </c>
      <c r="K17" s="248">
        <f t="shared" si="5"/>
        <v>25933.989217487862</v>
      </c>
      <c r="L17" s="248">
        <f t="shared" si="5"/>
        <v>21268.475700226605</v>
      </c>
    </row>
    <row r="18" spans="2:12" x14ac:dyDescent="0.2">
      <c r="B18" s="178" t="s">
        <v>22</v>
      </c>
      <c r="C18" s="185">
        <f>'p&amp;l'!C20</f>
        <v>3913.44</v>
      </c>
      <c r="D18" s="185">
        <f>'p&amp;l'!D20</f>
        <v>3125.7</v>
      </c>
      <c r="E18" s="185">
        <f>'p&amp;l'!E20</f>
        <v>3207.16</v>
      </c>
      <c r="F18" s="185">
        <f>'p&amp;l'!F20</f>
        <v>3545.85</v>
      </c>
      <c r="G18" s="185">
        <f>'p&amp;l'!G20</f>
        <v>3334.37</v>
      </c>
      <c r="H18" s="247">
        <f>'bs drivers'!H225</f>
        <v>3734.2674020976633</v>
      </c>
      <c r="I18" s="247">
        <f>'bs drivers'!I225</f>
        <v>2987.4139216781305</v>
      </c>
      <c r="J18" s="247">
        <f>'bs drivers'!J225</f>
        <v>2240.5604412585981</v>
      </c>
      <c r="K18" s="247">
        <f>'bs drivers'!K225</f>
        <v>1493.7069608390655</v>
      </c>
      <c r="L18" s="247">
        <f>'bs drivers'!L225</f>
        <v>746.85348041953284</v>
      </c>
    </row>
    <row r="19" spans="2:12" x14ac:dyDescent="0.2">
      <c r="B19" s="179" t="s">
        <v>27</v>
      </c>
      <c r="C19" s="186">
        <f t="shared" ref="C19:L19" si="6">C17-C18</f>
        <v>12235.800000000019</v>
      </c>
      <c r="D19" s="186">
        <f>D17-D18</f>
        <v>14410.729999999996</v>
      </c>
      <c r="E19" s="186">
        <f>E17-E18</f>
        <v>16973.040000000019</v>
      </c>
      <c r="F19" s="186">
        <f>F17-F18</f>
        <v>20423.499999999993</v>
      </c>
      <c r="G19" s="186">
        <f>G17-G18</f>
        <v>23104.010000000035</v>
      </c>
      <c r="H19" s="248">
        <f t="shared" si="6"/>
        <v>28113.92905288349</v>
      </c>
      <c r="I19" s="248">
        <f t="shared" si="6"/>
        <v>28393.548713596323</v>
      </c>
      <c r="J19" s="248">
        <f t="shared" si="6"/>
        <v>27881.863659741182</v>
      </c>
      <c r="K19" s="248">
        <f t="shared" si="6"/>
        <v>24440.282256648796</v>
      </c>
      <c r="L19" s="248">
        <f t="shared" si="6"/>
        <v>20521.622219807072</v>
      </c>
    </row>
    <row r="20" spans="2:12" x14ac:dyDescent="0.2">
      <c r="B20" s="178" t="s">
        <v>28</v>
      </c>
      <c r="C20" s="185">
        <f>'p&amp;l'!C26</f>
        <v>4010.82</v>
      </c>
      <c r="D20" s="185">
        <f>'p&amp;l'!D26</f>
        <v>4216.6099999999997</v>
      </c>
      <c r="E20" s="185">
        <f>'p&amp;l'!E26</f>
        <v>4484.16</v>
      </c>
      <c r="F20" s="185">
        <f>'p&amp;l'!F26</f>
        <v>4947.3900000000003</v>
      </c>
      <c r="G20" s="185">
        <f>'p&amp;l'!G26</f>
        <v>5891.4</v>
      </c>
      <c r="H20" s="247">
        <f>'p&amp;L drivers'!H24</f>
        <v>7427.5059801766738</v>
      </c>
      <c r="I20" s="247">
        <f>'p&amp;L drivers'!I24</f>
        <v>7501.3795642713349</v>
      </c>
      <c r="J20" s="247">
        <f>'p&amp;L drivers'!J24</f>
        <v>7366.1959052983366</v>
      </c>
      <c r="K20" s="247">
        <f>'p&amp;L drivers'!K24</f>
        <v>6456.953856467323</v>
      </c>
      <c r="L20" s="247">
        <f>'p&amp;L drivers'!L24</f>
        <v>5421.670925960816</v>
      </c>
    </row>
    <row r="21" spans="2:12" ht="15.75" thickBot="1" x14ac:dyDescent="0.25">
      <c r="B21" s="182" t="s">
        <v>29</v>
      </c>
      <c r="C21" s="188">
        <f t="shared" ref="C21:L21" si="7">C19-C20</f>
        <v>8224.9800000000196</v>
      </c>
      <c r="D21" s="188">
        <f>D19-D20</f>
        <v>10194.119999999995</v>
      </c>
      <c r="E21" s="188">
        <f>E19-E20</f>
        <v>12488.880000000019</v>
      </c>
      <c r="F21" s="188">
        <f>F19-F20</f>
        <v>15476.109999999993</v>
      </c>
      <c r="G21" s="188">
        <f>G19-G20</f>
        <v>17212.610000000037</v>
      </c>
      <c r="H21" s="250">
        <f t="shared" si="7"/>
        <v>20686.423072706817</v>
      </c>
      <c r="I21" s="250">
        <f t="shared" si="7"/>
        <v>20892.169149324989</v>
      </c>
      <c r="J21" s="250">
        <f t="shared" si="7"/>
        <v>20515.667754442846</v>
      </c>
      <c r="K21" s="250">
        <f t="shared" si="7"/>
        <v>17983.328400181472</v>
      </c>
      <c r="L21" s="250">
        <f t="shared" si="7"/>
        <v>15099.951293846256</v>
      </c>
    </row>
    <row r="22" spans="2:12" x14ac:dyDescent="0.2">
      <c r="B22" s="178" t="s">
        <v>30</v>
      </c>
      <c r="C22" s="185">
        <f>'p&amp;l'!C28</f>
        <v>14.4</v>
      </c>
      <c r="D22" s="185">
        <f>'p&amp;l'!D28</f>
        <v>128.19</v>
      </c>
      <c r="E22" s="185">
        <f>'p&amp;l'!E28</f>
        <v>-94.25</v>
      </c>
      <c r="F22" s="185">
        <f>'p&amp;l'!F28</f>
        <v>-22.62</v>
      </c>
      <c r="G22" s="185">
        <f>'p&amp;l'!G28</f>
        <v>-14.06</v>
      </c>
      <c r="H22" s="251">
        <f>G22</f>
        <v>-14.06</v>
      </c>
      <c r="I22" s="251">
        <f>H22</f>
        <v>-14.06</v>
      </c>
      <c r="J22" s="251">
        <f>I22</f>
        <v>-14.06</v>
      </c>
      <c r="K22" s="251">
        <f>J22</f>
        <v>-14.06</v>
      </c>
      <c r="L22" s="251">
        <f>K22</f>
        <v>-14.06</v>
      </c>
    </row>
    <row r="23" spans="2:12" ht="15.75" thickBot="1" x14ac:dyDescent="0.25">
      <c r="B23" s="182" t="s">
        <v>256</v>
      </c>
      <c r="C23" s="188">
        <f t="shared" ref="C23:L23" si="8">C21+C22</f>
        <v>8239.3800000000192</v>
      </c>
      <c r="D23" s="188">
        <f t="shared" si="8"/>
        <v>10322.309999999996</v>
      </c>
      <c r="E23" s="188">
        <f t="shared" si="8"/>
        <v>12394.630000000019</v>
      </c>
      <c r="F23" s="188">
        <f t="shared" si="8"/>
        <v>15453.489999999993</v>
      </c>
      <c r="G23" s="188">
        <f t="shared" si="8"/>
        <v>17198.550000000036</v>
      </c>
      <c r="H23" s="250">
        <f t="shared" si="8"/>
        <v>20672.363072706816</v>
      </c>
      <c r="I23" s="250">
        <f t="shared" si="8"/>
        <v>20878.109149324988</v>
      </c>
      <c r="J23" s="250">
        <f t="shared" si="8"/>
        <v>20501.607754442844</v>
      </c>
      <c r="K23" s="250">
        <f t="shared" si="8"/>
        <v>17969.26840018147</v>
      </c>
      <c r="L23" s="250">
        <f t="shared" si="8"/>
        <v>15085.891293846256</v>
      </c>
    </row>
    <row r="24" spans="2:12" x14ac:dyDescent="0.2">
      <c r="B24" s="178" t="s">
        <v>133</v>
      </c>
      <c r="C24" s="185">
        <f t="shared" ref="C24:L24" si="9">C21*C28</f>
        <v>3618.9912000000086</v>
      </c>
      <c r="D24" s="185">
        <f>D21*D28</f>
        <v>3669.8831999999984</v>
      </c>
      <c r="E24" s="185">
        <f>E21*E28</f>
        <v>3996.441600000006</v>
      </c>
      <c r="F24" s="185">
        <f>F21*F28</f>
        <v>5571.399599999997</v>
      </c>
      <c r="G24" s="185">
        <f>G21*G28</f>
        <v>5335.9091000000117</v>
      </c>
      <c r="H24" s="247">
        <f t="shared" si="9"/>
        <v>7405.7394600290399</v>
      </c>
      <c r="I24" s="247">
        <f t="shared" si="9"/>
        <v>7479.3965554583456</v>
      </c>
      <c r="J24" s="247">
        <f t="shared" si="9"/>
        <v>7344.6090560905386</v>
      </c>
      <c r="K24" s="247">
        <f t="shared" si="9"/>
        <v>6438.0315672649667</v>
      </c>
      <c r="L24" s="247">
        <f t="shared" si="9"/>
        <v>5405.782563196959</v>
      </c>
    </row>
    <row r="25" spans="2:12" ht="15.75" thickBot="1" x14ac:dyDescent="0.25">
      <c r="B25" s="182" t="s">
        <v>134</v>
      </c>
      <c r="C25" s="188">
        <f t="shared" ref="C25:L25" si="10">C21-C24</f>
        <v>4605.988800000011</v>
      </c>
      <c r="D25" s="188">
        <f>D21-D24</f>
        <v>6524.2367999999969</v>
      </c>
      <c r="E25" s="188">
        <f>E21-E24</f>
        <v>8492.4384000000136</v>
      </c>
      <c r="F25" s="188">
        <f>F21-F24</f>
        <v>9904.7103999999963</v>
      </c>
      <c r="G25" s="188">
        <f>G21-G24</f>
        <v>11876.700900000025</v>
      </c>
      <c r="H25" s="250">
        <f t="shared" si="10"/>
        <v>13280.683612677778</v>
      </c>
      <c r="I25" s="250">
        <f t="shared" si="10"/>
        <v>13412.772593866644</v>
      </c>
      <c r="J25" s="250">
        <f t="shared" si="10"/>
        <v>13171.058698352306</v>
      </c>
      <c r="K25" s="250">
        <f t="shared" si="10"/>
        <v>11545.296832916505</v>
      </c>
      <c r="L25" s="250">
        <f t="shared" si="10"/>
        <v>9694.1687306492968</v>
      </c>
    </row>
    <row r="26" spans="2:12" x14ac:dyDescent="0.2">
      <c r="B26" s="183"/>
      <c r="C26" s="189"/>
      <c r="D26" s="189"/>
      <c r="E26" s="189"/>
      <c r="F26" s="189"/>
      <c r="G26" s="189"/>
      <c r="H26" s="252"/>
      <c r="I26" s="252"/>
      <c r="J26" s="252"/>
      <c r="K26" s="252"/>
      <c r="L26" s="252"/>
    </row>
    <row r="27" spans="2:12" x14ac:dyDescent="0.2">
      <c r="B27" s="183"/>
      <c r="C27" s="189"/>
      <c r="D27" s="189"/>
      <c r="E27" s="189"/>
      <c r="F27" s="189"/>
      <c r="G27" s="189"/>
      <c r="H27" s="252"/>
      <c r="I27" s="252"/>
      <c r="J27" s="252"/>
      <c r="K27" s="252"/>
      <c r="L27" s="252"/>
    </row>
    <row r="28" spans="2:12" x14ac:dyDescent="0.2">
      <c r="B28" s="183" t="s">
        <v>135</v>
      </c>
      <c r="C28" s="408">
        <v>0.44</v>
      </c>
      <c r="D28" s="408">
        <v>0.36</v>
      </c>
      <c r="E28" s="408">
        <v>0.32</v>
      </c>
      <c r="F28" s="408">
        <v>0.36</v>
      </c>
      <c r="G28" s="408">
        <v>0.31</v>
      </c>
      <c r="H28" s="253">
        <f>AVERAGE($C$28:$G$28)</f>
        <v>0.35799999999999998</v>
      </c>
      <c r="I28" s="253">
        <f>AVERAGE($C$28:$G$28)</f>
        <v>0.35799999999999998</v>
      </c>
      <c r="J28" s="253">
        <f>AVERAGE($C$28:$G$28)</f>
        <v>0.35799999999999998</v>
      </c>
      <c r="K28" s="253">
        <f>AVERAGE($C$28:$G$28)</f>
        <v>0.35799999999999998</v>
      </c>
      <c r="L28" s="253">
        <f>AVERAGE($C$28:$G$28)</f>
        <v>0.35799999999999998</v>
      </c>
    </row>
    <row r="29" spans="2:12" x14ac:dyDescent="0.2">
      <c r="B29" s="184" t="s">
        <v>136</v>
      </c>
      <c r="C29" s="185"/>
      <c r="D29" s="185">
        <f>D30-D25</f>
        <v>14.793200000001889</v>
      </c>
      <c r="E29" s="185">
        <f t="shared" ref="E29:K29" si="11">E30-E25</f>
        <v>-1574.238400000002</v>
      </c>
      <c r="F29" s="185">
        <f t="shared" si="11"/>
        <v>-12865.250400000004</v>
      </c>
      <c r="G29" s="185">
        <f>G30-G25</f>
        <v>-580.45090000002529</v>
      </c>
      <c r="H29" s="409">
        <f t="shared" si="11"/>
        <v>0</v>
      </c>
      <c r="I29" s="409">
        <f t="shared" si="11"/>
        <v>0</v>
      </c>
      <c r="J29" s="409">
        <f t="shared" si="11"/>
        <v>0</v>
      </c>
      <c r="K29" s="409">
        <f t="shared" si="11"/>
        <v>0</v>
      </c>
      <c r="L29" s="409">
        <f>L30-L25</f>
        <v>-1.4551915228366852E-11</v>
      </c>
    </row>
    <row r="30" spans="2:12" x14ac:dyDescent="0.2">
      <c r="B30" s="178" t="s">
        <v>137</v>
      </c>
      <c r="C30" s="185"/>
      <c r="D30" s="185">
        <f>'balance sheet1'!D76-'balance sheet1'!C76</f>
        <v>6539.0299999999988</v>
      </c>
      <c r="E30" s="185">
        <f>'balance sheet1'!E76-'balance sheet1'!D76</f>
        <v>6918.2000000000116</v>
      </c>
      <c r="F30" s="185">
        <f>'balance sheet1'!F76-'balance sheet1'!E76</f>
        <v>-2960.5400000000081</v>
      </c>
      <c r="G30" s="185">
        <f>'balance sheet1'!G76-'balance sheet1'!F76</f>
        <v>11296.25</v>
      </c>
      <c r="H30" s="247">
        <f>'balance sheet1'!H76-'balance sheet1'!G76</f>
        <v>13280.683612677778</v>
      </c>
      <c r="I30" s="247">
        <f>'balance sheet1'!I76-'balance sheet1'!H76</f>
        <v>13412.772593866641</v>
      </c>
      <c r="J30" s="247">
        <f>'balance sheet1'!J76-'balance sheet1'!I76</f>
        <v>13171.05869835231</v>
      </c>
      <c r="K30" s="247">
        <f>'balance sheet1'!K76-'balance sheet1'!J76</f>
        <v>11545.296832916501</v>
      </c>
      <c r="L30" s="247">
        <f>'balance sheet1'!L76-'balance sheet1'!K76</f>
        <v>9694.1687306492822</v>
      </c>
    </row>
    <row r="31" spans="2:12" x14ac:dyDescent="0.2">
      <c r="B31" s="178"/>
      <c r="C31" s="189"/>
      <c r="D31" s="189"/>
      <c r="E31" s="189"/>
      <c r="F31" s="189"/>
      <c r="G31" s="189"/>
      <c r="H31" s="252"/>
      <c r="I31" s="252"/>
      <c r="J31" s="252"/>
      <c r="K31" s="252"/>
      <c r="L31" s="252"/>
    </row>
    <row r="58" spans="2:4" x14ac:dyDescent="0.2">
      <c r="B58" s="110"/>
      <c r="D58" s="27"/>
    </row>
    <row r="59" spans="2:4" x14ac:dyDescent="0.2">
      <c r="B59" s="110"/>
      <c r="D59" s="27"/>
    </row>
    <row r="60" spans="2:4" x14ac:dyDescent="0.2">
      <c r="B60" s="110"/>
      <c r="D60" s="27"/>
    </row>
    <row r="61" spans="2:4" x14ac:dyDescent="0.2">
      <c r="B61" s="110"/>
      <c r="D61" s="27"/>
    </row>
    <row r="62" spans="2:4" x14ac:dyDescent="0.2">
      <c r="B62" s="110"/>
      <c r="D62" s="27"/>
    </row>
    <row r="63" spans="2:4" x14ac:dyDescent="0.2">
      <c r="B63" s="110"/>
      <c r="D63" s="111"/>
    </row>
    <row r="64" spans="2:4" x14ac:dyDescent="0.2">
      <c r="D64" s="111"/>
    </row>
    <row r="65" spans="4:10" x14ac:dyDescent="0.2">
      <c r="D65" s="111"/>
    </row>
    <row r="66" spans="4:10" x14ac:dyDescent="0.2">
      <c r="D66" s="27"/>
    </row>
    <row r="67" spans="4:10" x14ac:dyDescent="0.2">
      <c r="D67" s="27"/>
    </row>
    <row r="68" spans="4:10" x14ac:dyDescent="0.2">
      <c r="D68" s="27"/>
    </row>
    <row r="69" spans="4:10" x14ac:dyDescent="0.2">
      <c r="D69" s="27"/>
    </row>
    <row r="70" spans="4:10" x14ac:dyDescent="0.2">
      <c r="D70" s="27"/>
    </row>
    <row r="71" spans="4:10" x14ac:dyDescent="0.2">
      <c r="D71" s="27"/>
      <c r="J71" s="112"/>
    </row>
    <row r="72" spans="4:10" x14ac:dyDescent="0.2">
      <c r="D72" s="27"/>
    </row>
  </sheetData>
  <hyperlinks>
    <hyperlink ref="L2" location="Index!A1" display="Index!A1" xr:uid="{20FF7396-867E-4503-A003-0C52E01D034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01C7-33CE-4DB5-8370-2F24E8118888}">
  <sheetPr codeName="Sheet6"/>
  <dimension ref="B3:M60"/>
  <sheetViews>
    <sheetView showGridLines="0" zoomScale="91" workbookViewId="0">
      <pane xSplit="1" ySplit="5" topLeftCell="B56" activePane="bottomRight" state="frozen"/>
      <selection pane="bottomLeft" activeCell="A5" sqref="A5"/>
      <selection pane="topRight" activeCell="B1" sqref="B1"/>
      <selection pane="bottomRight" activeCell="B6" sqref="B6:L56"/>
    </sheetView>
  </sheetViews>
  <sheetFormatPr defaultRowHeight="15" x14ac:dyDescent="0.2"/>
  <cols>
    <col min="1" max="1" width="2.15234375" customWidth="1"/>
    <col min="2" max="2" width="44.66015625" bestFit="1" customWidth="1"/>
    <col min="3" max="3" width="6.72265625" bestFit="1" customWidth="1"/>
    <col min="4" max="12" width="9.01171875" bestFit="1" customWidth="1"/>
  </cols>
  <sheetData>
    <row r="3" spans="2:13" ht="29.25" x14ac:dyDescent="0.4">
      <c r="B3" s="5" t="s">
        <v>157</v>
      </c>
    </row>
    <row r="4" spans="2:13" x14ac:dyDescent="0.2">
      <c r="B4" t="s">
        <v>122</v>
      </c>
    </row>
    <row r="5" spans="2:13" x14ac:dyDescent="0.2">
      <c r="B5" s="51" t="s">
        <v>123</v>
      </c>
      <c r="C5" s="52">
        <v>44389</v>
      </c>
      <c r="D5" s="52">
        <f>C5+365</f>
        <v>44754</v>
      </c>
      <c r="E5" s="52">
        <f>D5+365</f>
        <v>45119</v>
      </c>
      <c r="F5" s="52">
        <f t="shared" ref="F5:L5" si="0">E5+365</f>
        <v>45484</v>
      </c>
      <c r="G5" s="53">
        <f t="shared" si="0"/>
        <v>45849</v>
      </c>
      <c r="H5" s="54">
        <f t="shared" si="0"/>
        <v>46214</v>
      </c>
      <c r="I5" s="54">
        <f t="shared" si="0"/>
        <v>46579</v>
      </c>
      <c r="J5" s="54">
        <f t="shared" si="0"/>
        <v>46944</v>
      </c>
      <c r="K5" s="54">
        <f t="shared" si="0"/>
        <v>47309</v>
      </c>
      <c r="L5" s="54">
        <f t="shared" si="0"/>
        <v>47674</v>
      </c>
    </row>
    <row r="6" spans="2:13" x14ac:dyDescent="0.2">
      <c r="B6" s="190" t="s">
        <v>158</v>
      </c>
      <c r="C6" s="236"/>
      <c r="D6" s="201"/>
      <c r="E6" s="201"/>
      <c r="F6" s="201"/>
      <c r="G6" s="201"/>
      <c r="H6" s="254"/>
      <c r="I6" s="255"/>
      <c r="J6" s="255"/>
      <c r="K6" s="255"/>
      <c r="L6" s="256"/>
    </row>
    <row r="7" spans="2:13" x14ac:dyDescent="0.2">
      <c r="B7" s="191" t="s">
        <v>159</v>
      </c>
      <c r="C7" s="238">
        <f>'income statement'!C21</f>
        <v>8224.9800000000196</v>
      </c>
      <c r="D7" s="36">
        <f>'income statement'!D21</f>
        <v>10194.119999999995</v>
      </c>
      <c r="E7" s="36">
        <f>'income statement'!E21</f>
        <v>12488.880000000019</v>
      </c>
      <c r="F7" s="36">
        <f>'income statement'!F21</f>
        <v>15476.109999999993</v>
      </c>
      <c r="G7" s="36">
        <f>'income statement'!G21</f>
        <v>17212.610000000037</v>
      </c>
      <c r="H7" s="257">
        <f>'income statement'!H21</f>
        <v>20686.423072706817</v>
      </c>
      <c r="I7" s="247">
        <f>'income statement'!I21</f>
        <v>20892.169149324989</v>
      </c>
      <c r="J7" s="247">
        <f>'income statement'!J21</f>
        <v>20515.667754442846</v>
      </c>
      <c r="K7" s="247">
        <f>'income statement'!K21</f>
        <v>17983.328400181472</v>
      </c>
      <c r="L7" s="258">
        <f>'income statement'!L21</f>
        <v>15099.951293846256</v>
      </c>
    </row>
    <row r="8" spans="2:13" x14ac:dyDescent="0.2">
      <c r="B8" s="191" t="s">
        <v>160</v>
      </c>
      <c r="C8" s="238"/>
      <c r="D8" s="36">
        <f>'income statement'!D16</f>
        <v>2947.95</v>
      </c>
      <c r="E8" s="36">
        <f>'income statement'!E16</f>
        <v>3502.25</v>
      </c>
      <c r="F8" s="36">
        <f>'income statement'!F16</f>
        <v>3682.33</v>
      </c>
      <c r="G8" s="36">
        <f>'income statement'!G16</f>
        <v>4121.18</v>
      </c>
      <c r="H8" s="257">
        <f>'income statement'!H16</f>
        <v>1111.1422814181999</v>
      </c>
      <c r="I8" s="247">
        <f>'income statement'!I16</f>
        <v>1100.9859418711148</v>
      </c>
      <c r="J8" s="247">
        <f>'income statement'!J16</f>
        <v>1078.0277255904814</v>
      </c>
      <c r="K8" s="247">
        <f>'income statement'!K16</f>
        <v>1071.4436973230461</v>
      </c>
      <c r="L8" s="258">
        <f>'income statement'!L16</f>
        <v>1051.1667519152306</v>
      </c>
    </row>
    <row r="9" spans="2:13" x14ac:dyDescent="0.2">
      <c r="B9" s="191" t="s">
        <v>161</v>
      </c>
      <c r="C9" s="238"/>
      <c r="D9" s="36">
        <f>'income statement'!D18</f>
        <v>3125.7</v>
      </c>
      <c r="E9" s="36">
        <f>'income statement'!E18</f>
        <v>3207.16</v>
      </c>
      <c r="F9" s="36">
        <f>'income statement'!F18</f>
        <v>3545.85</v>
      </c>
      <c r="G9" s="36">
        <f>'income statement'!G18</f>
        <v>3334.37</v>
      </c>
      <c r="H9" s="257">
        <f>'income statement'!H18</f>
        <v>3734.2674020976633</v>
      </c>
      <c r="I9" s="247">
        <f>'income statement'!I18</f>
        <v>2987.4139216781305</v>
      </c>
      <c r="J9" s="247">
        <f>'income statement'!J18</f>
        <v>2240.5604412585981</v>
      </c>
      <c r="K9" s="247">
        <f>'income statement'!K18</f>
        <v>1493.7069608390655</v>
      </c>
      <c r="L9" s="258">
        <f>'income statement'!L18</f>
        <v>746.85348041953284</v>
      </c>
    </row>
    <row r="10" spans="2:13" x14ac:dyDescent="0.2">
      <c r="B10" s="191" t="s">
        <v>162</v>
      </c>
      <c r="C10" s="238"/>
      <c r="D10" s="36">
        <f>'income statement'!D20</f>
        <v>4216.6099999999997</v>
      </c>
      <c r="E10" s="36">
        <f>'income statement'!E20</f>
        <v>4484.16</v>
      </c>
      <c r="F10" s="36">
        <f>'income statement'!F20</f>
        <v>4947.3900000000003</v>
      </c>
      <c r="G10" s="36">
        <f>'income statement'!G20</f>
        <v>5891.4</v>
      </c>
      <c r="H10" s="257">
        <f>'income statement'!H20</f>
        <v>7427.5059801766738</v>
      </c>
      <c r="I10" s="247">
        <f>'income statement'!I20</f>
        <v>7501.3795642713349</v>
      </c>
      <c r="J10" s="247">
        <f>'income statement'!J20</f>
        <v>7366.1959052983366</v>
      </c>
      <c r="K10" s="247">
        <f>'income statement'!K20</f>
        <v>6456.953856467323</v>
      </c>
      <c r="L10" s="258">
        <f>'income statement'!L20</f>
        <v>5421.670925960816</v>
      </c>
    </row>
    <row r="11" spans="2:13" x14ac:dyDescent="0.2">
      <c r="B11" s="191" t="s">
        <v>55</v>
      </c>
      <c r="C11" s="238"/>
      <c r="D11" s="36">
        <f>'balance sheet1'!C7-'balance sheet1'!D7</f>
        <v>-122.77999999999975</v>
      </c>
      <c r="E11" s="36">
        <f>'balance sheet1'!D7-'balance sheet1'!E7</f>
        <v>-885.46</v>
      </c>
      <c r="F11" s="36">
        <f>'balance sheet1'!E7-'balance sheet1'!F7</f>
        <v>208.59000000000015</v>
      </c>
      <c r="G11" s="36">
        <f>'balance sheet1'!F7-'balance sheet1'!G7</f>
        <v>-1050.3600000000006</v>
      </c>
      <c r="H11" s="257">
        <f>'balance sheet1'!G7-'balance sheet1'!H7</f>
        <v>-3738.092575667416</v>
      </c>
      <c r="I11" s="247">
        <f>'balance sheet1'!H7-'balance sheet1'!I7</f>
        <v>-1509.8265205385105</v>
      </c>
      <c r="J11" s="247">
        <f>'balance sheet1'!I7-'balance sheet1'!J7</f>
        <v>-1553.5188988886275</v>
      </c>
      <c r="K11" s="247">
        <f>'balance sheet1'!J7-'balance sheet1'!K7</f>
        <v>-1509.2236550258585</v>
      </c>
      <c r="L11" s="258">
        <f>'balance sheet1'!K7-'balance sheet1'!L7</f>
        <v>-1367.2755763973673</v>
      </c>
    </row>
    <row r="12" spans="2:13" x14ac:dyDescent="0.2">
      <c r="B12" s="191" t="s">
        <v>57</v>
      </c>
      <c r="C12" s="238"/>
      <c r="D12" s="36">
        <f>'balance sheet1'!C9-'balance sheet1'!D9</f>
        <v>-3909.5400000000009</v>
      </c>
      <c r="E12" s="36">
        <f>'balance sheet1'!D9-'balance sheet1'!E9</f>
        <v>1407.7900000000009</v>
      </c>
      <c r="F12" s="36">
        <f>'balance sheet1'!E9-'balance sheet1'!F9</f>
        <v>-4039.4199999999983</v>
      </c>
      <c r="G12" s="36">
        <f>'balance sheet1'!F9-'balance sheet1'!G9</f>
        <v>-4942.7300000000032</v>
      </c>
      <c r="H12" s="257">
        <f>'balance sheet1'!G9-'balance sheet1'!H9</f>
        <v>-19911.059128236688</v>
      </c>
      <c r="I12" s="247">
        <f>'balance sheet1'!H9-'balance sheet1'!I9</f>
        <v>-8937.9785536999989</v>
      </c>
      <c r="J12" s="247">
        <f>'balance sheet1'!I9-'balance sheet1'!J9</f>
        <v>-9376.9624537922355</v>
      </c>
      <c r="K12" s="247">
        <f>'balance sheet1'!J9-'balance sheet1'!K9</f>
        <v>-8989.269268816628</v>
      </c>
      <c r="L12" s="258">
        <f>'balance sheet1'!K9-'balance sheet1'!L9</f>
        <v>-8908.2918448093405</v>
      </c>
    </row>
    <row r="13" spans="2:13" x14ac:dyDescent="0.2">
      <c r="B13" s="191" t="s">
        <v>59</v>
      </c>
      <c r="C13" s="238"/>
      <c r="D13" s="36">
        <f>'balance sheet1'!C11-'balance sheet1'!D11</f>
        <v>-2314.9500000000003</v>
      </c>
      <c r="E13" s="36">
        <f>'balance sheet1'!D11-'balance sheet1'!E11</f>
        <v>-409.97999999999956</v>
      </c>
      <c r="F13" s="36">
        <f>'balance sheet1'!E11-'balance sheet1'!F11</f>
        <v>2193.02</v>
      </c>
      <c r="G13" s="36">
        <f>'balance sheet1'!F11-'balance sheet1'!G11</f>
        <v>-7378.4500000000007</v>
      </c>
      <c r="H13" s="257">
        <f>'balance sheet1'!G11-'balance sheet1'!H11</f>
        <v>2596.7345879394288</v>
      </c>
      <c r="I13" s="247">
        <f>'balance sheet1'!H11-'balance sheet1'!I11</f>
        <v>-993.23969868964195</v>
      </c>
      <c r="J13" s="247">
        <f>'balance sheet1'!I11-'balance sheet1'!J11</f>
        <v>-1042.0221201328786</v>
      </c>
      <c r="K13" s="247">
        <f>'balance sheet1'!J11-'balance sheet1'!K11</f>
        <v>-998.93941861198618</v>
      </c>
      <c r="L13" s="258">
        <f>'balance sheet1'!K11-'balance sheet1'!L11</f>
        <v>-989.94074047258073</v>
      </c>
      <c r="M13" s="120"/>
    </row>
    <row r="14" spans="2:13" x14ac:dyDescent="0.2">
      <c r="B14" s="191" t="s">
        <v>49</v>
      </c>
      <c r="C14" s="238"/>
      <c r="D14" s="36">
        <f>'balance sheet1'!C14-'balance sheet1'!D14</f>
        <v>-404.14000000000033</v>
      </c>
      <c r="E14" s="36">
        <f>'balance sheet1'!D14-'balance sheet1'!E14</f>
        <v>-1274.2800000000002</v>
      </c>
      <c r="F14" s="36">
        <f>'balance sheet1'!E14-'balance sheet1'!F14</f>
        <v>-633.81999999999971</v>
      </c>
      <c r="G14" s="36">
        <f>'balance sheet1'!F14-'balance sheet1'!G14</f>
        <v>144.02999999999975</v>
      </c>
      <c r="H14" s="257">
        <f>'balance sheet1'!G14-'balance sheet1'!H14</f>
        <v>0</v>
      </c>
      <c r="I14" s="247">
        <f>'balance sheet1'!H14-'balance sheet1'!I14</f>
        <v>0</v>
      </c>
      <c r="J14" s="247">
        <f>'balance sheet1'!I14-'balance sheet1'!J14</f>
        <v>0</v>
      </c>
      <c r="K14" s="247">
        <f>'balance sheet1'!J14-'balance sheet1'!K14</f>
        <v>0</v>
      </c>
      <c r="L14" s="258">
        <f>'balance sheet1'!K14-'balance sheet1'!L14</f>
        <v>0</v>
      </c>
    </row>
    <row r="15" spans="2:13" x14ac:dyDescent="0.2">
      <c r="B15" s="191" t="s">
        <v>76</v>
      </c>
      <c r="C15" s="238"/>
      <c r="D15" s="36">
        <f>'balance sheet1'!D67-'balance sheet1'!C67</f>
        <v>43.990000000000009</v>
      </c>
      <c r="E15" s="36">
        <f>'balance sheet1'!E67-'balance sheet1'!D67</f>
        <v>52.220000000000027</v>
      </c>
      <c r="F15" s="36">
        <f>'balance sheet1'!F67-'balance sheet1'!E67</f>
        <v>117.38999999999999</v>
      </c>
      <c r="G15" s="36">
        <f>'balance sheet1'!G67-'balance sheet1'!F67</f>
        <v>136.63</v>
      </c>
      <c r="H15" s="257">
        <f>'balance sheet1'!H67-'balance sheet1'!G67</f>
        <v>0</v>
      </c>
      <c r="I15" s="247">
        <f>'balance sheet1'!I67-'balance sheet1'!H67</f>
        <v>0</v>
      </c>
      <c r="J15" s="247">
        <f>'balance sheet1'!J67-'balance sheet1'!I67</f>
        <v>0</v>
      </c>
      <c r="K15" s="247">
        <f>'balance sheet1'!K67-'balance sheet1'!J67</f>
        <v>0</v>
      </c>
      <c r="L15" s="258">
        <f>'balance sheet1'!L67-'balance sheet1'!K67</f>
        <v>0</v>
      </c>
    </row>
    <row r="16" spans="2:13" x14ac:dyDescent="0.2">
      <c r="B16" s="191" t="s">
        <v>60</v>
      </c>
      <c r="C16" s="238"/>
      <c r="D16" s="239">
        <f>'balance sheet1'!C15-'balance sheet1'!D15</f>
        <v>-5540.07</v>
      </c>
      <c r="E16" s="239">
        <f>'balance sheet1'!D15-'balance sheet1'!E15</f>
        <v>-5588.8399999999965</v>
      </c>
      <c r="F16" s="239">
        <f>'balance sheet1'!E15-'balance sheet1'!F15</f>
        <v>-5470.6399999999994</v>
      </c>
      <c r="G16" s="239">
        <f>'balance sheet1'!F15-'balance sheet1'!G15</f>
        <v>-4168.8000000000029</v>
      </c>
      <c r="H16" s="257">
        <f>'balance sheet1'!G15-'balance sheet1'!H15</f>
        <v>0</v>
      </c>
      <c r="I16" s="247">
        <f>'balance sheet1'!H15-'balance sheet1'!I15</f>
        <v>0</v>
      </c>
      <c r="J16" s="247">
        <f>'balance sheet1'!I15-'balance sheet1'!J15</f>
        <v>0</v>
      </c>
      <c r="K16" s="247">
        <f>'balance sheet1'!J15-'balance sheet1'!K15</f>
        <v>0</v>
      </c>
      <c r="L16" s="258">
        <f>'balance sheet1'!K15-'balance sheet1'!L15</f>
        <v>0</v>
      </c>
    </row>
    <row r="17" spans="2:12" x14ac:dyDescent="0.2">
      <c r="B17" s="191" t="s">
        <v>83</v>
      </c>
      <c r="C17" s="238"/>
      <c r="D17" s="36">
        <f>'balance sheet1'!D51-'balance sheet1'!C51</f>
        <v>86.919999999999959</v>
      </c>
      <c r="E17" s="36">
        <f>'balance sheet1'!E51-'balance sheet1'!D51</f>
        <v>275.79000000000008</v>
      </c>
      <c r="F17" s="36">
        <f>'balance sheet1'!F51-'balance sheet1'!E51</f>
        <v>167.01</v>
      </c>
      <c r="G17" s="36">
        <f>'balance sheet1'!G51-'balance sheet1'!F51</f>
        <v>398.94000000000005</v>
      </c>
      <c r="H17" s="257">
        <f>'balance sheet1'!H51-'balance sheet1'!G51</f>
        <v>-91.076944544973003</v>
      </c>
      <c r="I17" s="247">
        <f>'balance sheet1'!I51-'balance sheet1'!H51</f>
        <v>217.02883810761477</v>
      </c>
      <c r="J17" s="247">
        <f>'balance sheet1'!J51-'balance sheet1'!I51</f>
        <v>243.63794608152807</v>
      </c>
      <c r="K17" s="247">
        <f>'balance sheet1'!K51-'balance sheet1'!J51</f>
        <v>182.46641410899542</v>
      </c>
      <c r="L17" s="258">
        <f>'balance sheet1'!L51-'balance sheet1'!K51</f>
        <v>188.21109549159132</v>
      </c>
    </row>
    <row r="18" spans="2:12" x14ac:dyDescent="0.2">
      <c r="B18" s="191" t="s">
        <v>84</v>
      </c>
      <c r="C18" s="238"/>
      <c r="D18" s="36">
        <f>'balance sheet1'!D52-'balance sheet1'!C52</f>
        <v>5533.4700000000012</v>
      </c>
      <c r="E18" s="36">
        <f>'balance sheet1'!E52-'balance sheet1'!D52</f>
        <v>-1857.2900000000009</v>
      </c>
      <c r="F18" s="36">
        <f>'balance sheet1'!F52-'balance sheet1'!E52</f>
        <v>3341.75</v>
      </c>
      <c r="G18" s="36">
        <f>'balance sheet1'!G52-'balance sheet1'!F52</f>
        <v>-1232.4799999999959</v>
      </c>
      <c r="H18" s="257">
        <f>'balance sheet1'!H52-'balance sheet1'!G52</f>
        <v>31704.80415369595</v>
      </c>
      <c r="I18" s="247">
        <f>'balance sheet1'!I52-'balance sheet1'!H52</f>
        <v>5723.5663947063877</v>
      </c>
      <c r="J18" s="247">
        <f>'balance sheet1'!J52-'balance sheet1'!I52</f>
        <v>5076.6002487567603</v>
      </c>
      <c r="K18" s="247">
        <f>'balance sheet1'!K52-'balance sheet1'!J52</f>
        <v>7512.9970545543038</v>
      </c>
      <c r="L18" s="258">
        <f>'balance sheet1'!L52-'balance sheet1'!K52</f>
        <v>9653.6385107499373</v>
      </c>
    </row>
    <row r="19" spans="2:12" x14ac:dyDescent="0.2">
      <c r="B19" s="191" t="s">
        <v>75</v>
      </c>
      <c r="C19" s="238"/>
      <c r="D19" s="36">
        <f>'balance sheet1'!D66-'balance sheet1'!C66</f>
        <v>-63.800000000000011</v>
      </c>
      <c r="E19" s="36">
        <f>'balance sheet1'!E66-'balance sheet1'!D66</f>
        <v>150.01999999999998</v>
      </c>
      <c r="F19" s="36">
        <f>'balance sheet1'!F66-'balance sheet1'!E66</f>
        <v>-176.89</v>
      </c>
      <c r="G19" s="36">
        <f>'balance sheet1'!G66-'balance sheet1'!F66</f>
        <v>156.11000000000001</v>
      </c>
      <c r="H19" s="257">
        <f>'balance sheet1'!H66-'balance sheet1'!G66</f>
        <v>0</v>
      </c>
      <c r="I19" s="247">
        <f>'balance sheet1'!I66-'balance sheet1'!H66</f>
        <v>0</v>
      </c>
      <c r="J19" s="247">
        <f>'balance sheet1'!J66-'balance sheet1'!I66</f>
        <v>0</v>
      </c>
      <c r="K19" s="247">
        <f>'balance sheet1'!K66-'balance sheet1'!J66</f>
        <v>0</v>
      </c>
      <c r="L19" s="258">
        <f>'balance sheet1'!L66-'balance sheet1'!K66</f>
        <v>0</v>
      </c>
    </row>
    <row r="20" spans="2:12" x14ac:dyDescent="0.2">
      <c r="B20" s="191" t="s">
        <v>77</v>
      </c>
      <c r="C20" s="238"/>
      <c r="D20" s="36">
        <f>'balance sheet1'!D68-'balance sheet1'!C68</f>
        <v>-139.33000000000015</v>
      </c>
      <c r="E20" s="36">
        <f>'balance sheet1'!E68-'balance sheet1'!D68</f>
        <v>-408.9</v>
      </c>
      <c r="F20" s="36">
        <f>'balance sheet1'!F68-'balance sheet1'!E68</f>
        <v>-96.799999999999955</v>
      </c>
      <c r="G20" s="36">
        <f>'balance sheet1'!G68-'balance sheet1'!F68</f>
        <v>-123.62</v>
      </c>
      <c r="H20" s="257">
        <f>'balance sheet1'!H68-'balance sheet1'!G68</f>
        <v>331.04112435545346</v>
      </c>
      <c r="I20" s="247">
        <f>'balance sheet1'!I68-'balance sheet1'!H68</f>
        <v>598.32296141923928</v>
      </c>
      <c r="J20" s="247">
        <f>'balance sheet1'!J68-'balance sheet1'!I68</f>
        <v>1081.4075346635734</v>
      </c>
      <c r="K20" s="247">
        <f>'balance sheet1'!K68-'balance sheet1'!J68</f>
        <v>1954.5334734491844</v>
      </c>
      <c r="L20" s="258">
        <f>'balance sheet1'!L68-'balance sheet1'!K68</f>
        <v>3532.6192729198992</v>
      </c>
    </row>
    <row r="21" spans="2:12" x14ac:dyDescent="0.2">
      <c r="B21" s="191" t="s">
        <v>78</v>
      </c>
      <c r="C21" s="238"/>
      <c r="D21" s="36">
        <f>'balance sheet1'!D69-'balance sheet1'!C69</f>
        <v>-47.430000000000007</v>
      </c>
      <c r="E21" s="36">
        <f>'balance sheet1'!E69-'balance sheet1'!D69</f>
        <v>60.460000000000008</v>
      </c>
      <c r="F21" s="36">
        <f>'balance sheet1'!F69-'balance sheet1'!E69</f>
        <v>536.29</v>
      </c>
      <c r="G21" s="36">
        <f>'balance sheet1'!G69-'balance sheet1'!F69</f>
        <v>-23.279999999999973</v>
      </c>
      <c r="H21" s="257">
        <f>'balance sheet1'!H69-'balance sheet1'!G69</f>
        <v>0</v>
      </c>
      <c r="I21" s="247">
        <f>'balance sheet1'!I69-'balance sheet1'!H69</f>
        <v>0</v>
      </c>
      <c r="J21" s="247">
        <f>'balance sheet1'!J69-'balance sheet1'!I69</f>
        <v>0</v>
      </c>
      <c r="K21" s="247">
        <f>'balance sheet1'!K69-'balance sheet1'!J69</f>
        <v>0</v>
      </c>
      <c r="L21" s="258">
        <f>'balance sheet1'!L69-'balance sheet1'!K69</f>
        <v>0</v>
      </c>
    </row>
    <row r="22" spans="2:12" x14ac:dyDescent="0.2">
      <c r="B22" s="191" t="s">
        <v>75</v>
      </c>
      <c r="C22" s="238"/>
      <c r="D22" s="36">
        <f>'balance sheet1'!D54-'balance sheet1'!C54</f>
        <v>1335.42</v>
      </c>
      <c r="E22" s="36">
        <f>'balance sheet1'!E54-'balance sheet1'!D54</f>
        <v>777.58999999999924</v>
      </c>
      <c r="F22" s="36">
        <f>'balance sheet1'!F54-'balance sheet1'!E54</f>
        <v>133.73000000000047</v>
      </c>
      <c r="G22" s="36">
        <f>'balance sheet1'!G54-'balance sheet1'!F54</f>
        <v>-1302.3000000000002</v>
      </c>
      <c r="H22" s="257">
        <f>'balance sheet1'!H54-'balance sheet1'!G54</f>
        <v>0</v>
      </c>
      <c r="I22" s="247">
        <f>'balance sheet1'!I54-'balance sheet1'!H54</f>
        <v>0</v>
      </c>
      <c r="J22" s="247">
        <f>'balance sheet1'!J54-'balance sheet1'!I54</f>
        <v>0</v>
      </c>
      <c r="K22" s="247">
        <f>'balance sheet1'!K54-'balance sheet1'!J54</f>
        <v>0</v>
      </c>
      <c r="L22" s="258">
        <f>'balance sheet1'!L54-'balance sheet1'!K54</f>
        <v>0</v>
      </c>
    </row>
    <row r="23" spans="2:12" x14ac:dyDescent="0.2">
      <c r="B23" s="191" t="s">
        <v>85</v>
      </c>
      <c r="C23" s="238"/>
      <c r="D23" s="36">
        <f>'balance sheet1'!D55-'balance sheet1'!C55</f>
        <v>3139.1099999999969</v>
      </c>
      <c r="E23" s="36">
        <f>'balance sheet1'!E55-'balance sheet1'!D55</f>
        <v>7757.8100000000049</v>
      </c>
      <c r="F23" s="36">
        <f>'balance sheet1'!F55-'balance sheet1'!E55</f>
        <v>10017.529999999999</v>
      </c>
      <c r="G23" s="36">
        <f>'balance sheet1'!G55-'balance sheet1'!F55</f>
        <v>11142.89</v>
      </c>
      <c r="H23" s="257">
        <f>'balance sheet1'!H55-'balance sheet1'!G55</f>
        <v>0</v>
      </c>
      <c r="I23" s="247">
        <f>'balance sheet1'!I55-'balance sheet1'!H55</f>
        <v>0</v>
      </c>
      <c r="J23" s="247">
        <f>'balance sheet1'!J55-'balance sheet1'!I55</f>
        <v>0</v>
      </c>
      <c r="K23" s="247">
        <f>'balance sheet1'!K55-'balance sheet1'!J55</f>
        <v>0</v>
      </c>
      <c r="L23" s="258">
        <f>'balance sheet1'!L55-'balance sheet1'!K55</f>
        <v>0</v>
      </c>
    </row>
    <row r="24" spans="2:12" x14ac:dyDescent="0.2">
      <c r="B24" s="191" t="s">
        <v>76</v>
      </c>
      <c r="C24" s="238"/>
      <c r="D24" s="36">
        <f>'balance sheet1'!D56-'balance sheet1'!C56</f>
        <v>357.18000000000029</v>
      </c>
      <c r="E24" s="36">
        <f>'balance sheet1'!E56-'balance sheet1'!D56</f>
        <v>137.60999999999967</v>
      </c>
      <c r="F24" s="36">
        <f>'balance sheet1'!F56-'balance sheet1'!E56</f>
        <v>622.42000000000053</v>
      </c>
      <c r="G24" s="36">
        <f>'balance sheet1'!G56-'balance sheet1'!F56</f>
        <v>575.77999999999975</v>
      </c>
      <c r="H24" s="257">
        <f>'balance sheet1'!H56-'balance sheet1'!G56</f>
        <v>0</v>
      </c>
      <c r="I24" s="247">
        <f>'balance sheet1'!I56-'balance sheet1'!H56</f>
        <v>0</v>
      </c>
      <c r="J24" s="247">
        <f>'balance sheet1'!J56-'balance sheet1'!I56</f>
        <v>0</v>
      </c>
      <c r="K24" s="247">
        <f>'balance sheet1'!K56-'balance sheet1'!J56</f>
        <v>0</v>
      </c>
      <c r="L24" s="258">
        <f>'balance sheet1'!L56-'balance sheet1'!K56</f>
        <v>0</v>
      </c>
    </row>
    <row r="25" spans="2:12" x14ac:dyDescent="0.2">
      <c r="B25" s="191" t="s">
        <v>86</v>
      </c>
      <c r="C25" s="238"/>
      <c r="D25" s="36">
        <f>'balance sheet1'!D57-'balance sheet1'!C57</f>
        <v>138.79999999999995</v>
      </c>
      <c r="E25" s="36">
        <f>'balance sheet1'!E57-'balance sheet1'!D57</f>
        <v>83.6400000000001</v>
      </c>
      <c r="F25" s="36">
        <f>'balance sheet1'!F57-'balance sheet1'!E57</f>
        <v>467.01</v>
      </c>
      <c r="G25" s="36">
        <f>'balance sheet1'!G57-'balance sheet1'!F57</f>
        <v>718.74</v>
      </c>
      <c r="H25" s="257">
        <f>'balance sheet1'!H57-'balance sheet1'!G57</f>
        <v>0</v>
      </c>
      <c r="I25" s="247">
        <f>'balance sheet1'!I57-'balance sheet1'!H57</f>
        <v>0</v>
      </c>
      <c r="J25" s="247">
        <f>'balance sheet1'!J57-'balance sheet1'!I57</f>
        <v>0</v>
      </c>
      <c r="K25" s="247">
        <f>'balance sheet1'!K57-'balance sheet1'!J57</f>
        <v>0</v>
      </c>
      <c r="L25" s="258">
        <f>'balance sheet1'!L57-'balance sheet1'!K57</f>
        <v>0</v>
      </c>
    </row>
    <row r="26" spans="2:12" x14ac:dyDescent="0.2">
      <c r="B26" s="192" t="s">
        <v>163</v>
      </c>
      <c r="C26" s="240"/>
      <c r="D26" s="42">
        <f t="shared" ref="D26:L26" si="1">SUM(D7:D25)</f>
        <v>18577.229999999996</v>
      </c>
      <c r="E26" s="42">
        <f t="shared" si="1"/>
        <v>23960.63000000003</v>
      </c>
      <c r="F26" s="42">
        <f t="shared" si="1"/>
        <v>35038.85</v>
      </c>
      <c r="G26" s="42">
        <f t="shared" si="1"/>
        <v>23610.660000000029</v>
      </c>
      <c r="H26" s="257">
        <f t="shared" si="1"/>
        <v>43851.68995394111</v>
      </c>
      <c r="I26" s="247">
        <f t="shared" si="1"/>
        <v>27579.821998450654</v>
      </c>
      <c r="J26" s="247">
        <f t="shared" si="1"/>
        <v>25629.594083278378</v>
      </c>
      <c r="K26" s="247">
        <f t="shared" si="1"/>
        <v>25157.99751446892</v>
      </c>
      <c r="L26" s="258">
        <f t="shared" si="1"/>
        <v>24428.603169623977</v>
      </c>
    </row>
    <row r="27" spans="2:12" x14ac:dyDescent="0.2">
      <c r="B27" s="193"/>
      <c r="C27" s="238"/>
      <c r="D27" s="36"/>
      <c r="E27" s="36"/>
      <c r="F27" s="36"/>
      <c r="G27" s="36"/>
      <c r="H27" s="257"/>
      <c r="I27" s="247"/>
      <c r="J27" s="247"/>
      <c r="K27" s="247"/>
      <c r="L27" s="258"/>
    </row>
    <row r="28" spans="2:12" x14ac:dyDescent="0.2">
      <c r="B28" s="190" t="s">
        <v>164</v>
      </c>
      <c r="C28" s="238"/>
      <c r="D28" s="36"/>
      <c r="E28" s="36"/>
      <c r="F28" s="36"/>
      <c r="G28" s="36"/>
      <c r="H28" s="257"/>
      <c r="I28" s="247"/>
      <c r="J28" s="247"/>
      <c r="K28" s="247"/>
      <c r="L28" s="258"/>
    </row>
    <row r="29" spans="2:12" x14ac:dyDescent="0.2">
      <c r="B29" s="194" t="s">
        <v>165</v>
      </c>
      <c r="C29" s="238"/>
      <c r="D29" s="36">
        <f>'balance sheet1'!C25-'balance sheet1'!D25-'bs drivers'!D184</f>
        <v>-1547.2499999999973</v>
      </c>
      <c r="E29" s="36">
        <f>'balance sheet1'!D25-'balance sheet1'!E25-'bs drivers'!E184</f>
        <v>-3029.7900000000009</v>
      </c>
      <c r="F29" s="36">
        <f>'balance sheet1'!E25-'balance sheet1'!F25-'bs drivers'!F184</f>
        <v>-2827.88</v>
      </c>
      <c r="G29" s="36">
        <f>'balance sheet1'!F25-'balance sheet1'!G25-'bs drivers'!G184</f>
        <v>-2661.42</v>
      </c>
      <c r="H29" s="257">
        <f>'balance sheet1'!G25-'balance sheet1'!H25-'bs drivers'!H184</f>
        <v>-779.89651199999923</v>
      </c>
      <c r="I29" s="247">
        <f>'balance sheet1'!H25-'balance sheet1'!I25-'bs drivers'!I184</f>
        <v>-790.6640277313146</v>
      </c>
      <c r="J29" s="247">
        <f>'balance sheet1'!I25-'balance sheet1'!J25-'bs drivers'!J184</f>
        <v>-800.71209768645497</v>
      </c>
      <c r="K29" s="247">
        <f>'balance sheet1'!J25-'balance sheet1'!K25-'bs drivers'!K184</f>
        <v>-812.26969027231189</v>
      </c>
      <c r="L29" s="258">
        <f>'balance sheet1'!K25-'balance sheet1'!L25-'bs drivers'!L184</f>
        <v>-820.3594658705548</v>
      </c>
    </row>
    <row r="30" spans="2:12" x14ac:dyDescent="0.2">
      <c r="B30" s="194" t="s">
        <v>166</v>
      </c>
      <c r="C30" s="238"/>
      <c r="D30" s="36">
        <f>'balance sheet1'!C28-'balance sheet1'!D28-'bs drivers'!D185</f>
        <v>-408.18000000000018</v>
      </c>
      <c r="E30" s="36">
        <f>'balance sheet1'!D28-'balance sheet1'!E28-'bs drivers'!E185</f>
        <v>-54.970000000001164</v>
      </c>
      <c r="F30" s="36">
        <f>'balance sheet1'!E28-'balance sheet1'!F28-'bs drivers'!F185</f>
        <v>-920.11000000000172</v>
      </c>
      <c r="G30" s="36">
        <f>'balance sheet1'!F28-'balance sheet1'!G28-'bs drivers'!G185</f>
        <v>-1757.4199999999985</v>
      </c>
      <c r="H30" s="257">
        <f>'balance sheet1'!G28-'balance sheet1'!H28-'bs drivers'!H185</f>
        <v>-177.59233799999808</v>
      </c>
      <c r="I30" s="247">
        <f>'balance sheet1'!H28-'balance sheet1'!I28-'bs drivers'!I185</f>
        <v>-174.91125449780156</v>
      </c>
      <c r="J30" s="247">
        <f>'balance sheet1'!I28-'balance sheet1'!J28-'bs drivers'!J185</f>
        <v>-173.11720590255351</v>
      </c>
      <c r="K30" s="247">
        <f>'balance sheet1'!J28-'balance sheet1'!K28-'bs drivers'!K185</f>
        <v>-171.05885544483613</v>
      </c>
      <c r="L30" s="258">
        <f>'balance sheet1'!K28-'balance sheet1'!L28-'bs drivers'!L185</f>
        <v>-169.3062772149791</v>
      </c>
    </row>
    <row r="31" spans="2:12" x14ac:dyDescent="0.2">
      <c r="B31" s="194" t="s">
        <v>167</v>
      </c>
      <c r="C31" s="238"/>
      <c r="D31" s="36">
        <f>'balance sheet1'!C41-'balance sheet1'!D41</f>
        <v>3450.2000000000116</v>
      </c>
      <c r="E31" s="36">
        <f>'balance sheet1'!D41-'balance sheet1'!E41</f>
        <v>3298.679999999993</v>
      </c>
      <c r="F31" s="36">
        <f>'balance sheet1'!E41-'balance sheet1'!F41</f>
        <v>-13333.720000000016</v>
      </c>
      <c r="G31" s="36">
        <f>'balance sheet1'!F41-'balance sheet1'!G41</f>
        <v>-12337.359999999986</v>
      </c>
      <c r="H31" s="257">
        <f>'balance sheet1'!G41-'balance sheet1'!H41</f>
        <v>-4705.1496820000175</v>
      </c>
      <c r="I31" s="247">
        <f>'balance sheet1'!H41-'balance sheet1'!I41</f>
        <v>-5130.8186828235775</v>
      </c>
      <c r="J31" s="247">
        <f>'balance sheet1'!I41-'balance sheet1'!J41</f>
        <v>-5615.1812714969856</v>
      </c>
      <c r="K31" s="247">
        <f>'balance sheet1'!J41-'balance sheet1'!K41</f>
        <v>-6172.0241568758647</v>
      </c>
      <c r="L31" s="258">
        <f>'balance sheet1'!K41-'balance sheet1'!L41</f>
        <v>-6816.3164676027955</v>
      </c>
    </row>
    <row r="32" spans="2:12" x14ac:dyDescent="0.2">
      <c r="B32" s="191" t="s">
        <v>56</v>
      </c>
      <c r="C32" s="238"/>
      <c r="D32" s="36">
        <f>'balance sheet1'!C8-'balance sheet1'!D8</f>
        <v>1211.6499999999978</v>
      </c>
      <c r="E32" s="36">
        <f>'balance sheet1'!D8-'balance sheet1'!E8</f>
        <v>-5773.8399999999965</v>
      </c>
      <c r="F32" s="36">
        <f>'balance sheet1'!E8-'balance sheet1'!F8</f>
        <v>615.79000000000087</v>
      </c>
      <c r="G32" s="36">
        <f>'balance sheet1'!F8-'balance sheet1'!G8</f>
        <v>-8402.9900000000052</v>
      </c>
      <c r="H32" s="257">
        <f>'balance sheet1'!G8-'balance sheet1'!H8</f>
        <v>-10717.849684232788</v>
      </c>
      <c r="I32" s="247">
        <f>'balance sheet1'!H8-'balance sheet1'!I8</f>
        <v>-6565.0786403834281</v>
      </c>
      <c r="J32" s="247">
        <f>'balance sheet1'!I8-'balance sheet1'!J8</f>
        <v>-6887.5188665097958</v>
      </c>
      <c r="K32" s="247">
        <f>'balance sheet1'!J8-'balance sheet1'!K8</f>
        <v>-6602.7524361124088</v>
      </c>
      <c r="L32" s="258">
        <f>'balance sheet1'!K8-'balance sheet1'!L8</f>
        <v>-6543.2733096511656</v>
      </c>
    </row>
    <row r="33" spans="2:12" x14ac:dyDescent="0.2">
      <c r="B33" s="191" t="s">
        <v>47</v>
      </c>
      <c r="C33" s="238"/>
      <c r="D33" s="36">
        <f>'balance sheet1'!C12-'balance sheet1'!D12</f>
        <v>-890.16999999999825</v>
      </c>
      <c r="E33" s="36">
        <f>'balance sheet1'!D12-'balance sheet1'!E12</f>
        <v>1808.6499999999942</v>
      </c>
      <c r="F33" s="36">
        <f>'balance sheet1'!E12-'balance sheet1'!F12</f>
        <v>5645.9600000000064</v>
      </c>
      <c r="G33" s="36">
        <f>'balance sheet1'!F12-'balance sheet1'!G12</f>
        <v>-1262.9200000000055</v>
      </c>
      <c r="H33" s="257">
        <f>'balance sheet1'!G12-'balance sheet1'!H12</f>
        <v>0</v>
      </c>
      <c r="I33" s="247">
        <f>'balance sheet1'!H12-'balance sheet1'!I12</f>
        <v>0</v>
      </c>
      <c r="J33" s="247">
        <f>'balance sheet1'!I12-'balance sheet1'!J12</f>
        <v>0</v>
      </c>
      <c r="K33" s="247">
        <f>'balance sheet1'!J12-'balance sheet1'!K12</f>
        <v>0</v>
      </c>
      <c r="L33" s="258">
        <f>'balance sheet1'!K12-'balance sheet1'!L12</f>
        <v>0</v>
      </c>
    </row>
    <row r="34" spans="2:12" x14ac:dyDescent="0.2">
      <c r="B34" s="191" t="s">
        <v>48</v>
      </c>
      <c r="C34" s="238"/>
      <c r="D34" s="36">
        <f>'balance sheet1'!C13-'balance sheet1'!D13</f>
        <v>-44.989999999999981</v>
      </c>
      <c r="E34" s="36">
        <f>'balance sheet1'!D13-'balance sheet1'!E13</f>
        <v>29.189999999999969</v>
      </c>
      <c r="F34" s="36">
        <f>'balance sheet1'!E13-'balance sheet1'!F13</f>
        <v>144.61000000000001</v>
      </c>
      <c r="G34" s="36">
        <f>'balance sheet1'!F13-'balance sheet1'!G13</f>
        <v>-310.31</v>
      </c>
      <c r="H34" s="257">
        <f>'balance sheet1'!G13-'balance sheet1'!H13</f>
        <v>0</v>
      </c>
      <c r="I34" s="247">
        <f>'balance sheet1'!H13-'balance sheet1'!I13</f>
        <v>0</v>
      </c>
      <c r="J34" s="247">
        <f>'balance sheet1'!I13-'balance sheet1'!J13</f>
        <v>0</v>
      </c>
      <c r="K34" s="247">
        <f>'balance sheet1'!J13-'balance sheet1'!K13</f>
        <v>0</v>
      </c>
      <c r="L34" s="258">
        <f>'balance sheet1'!K13-'balance sheet1'!L13</f>
        <v>0</v>
      </c>
    </row>
    <row r="35" spans="2:12" x14ac:dyDescent="0.2">
      <c r="B35" s="191"/>
      <c r="C35" s="238"/>
      <c r="D35" s="36"/>
      <c r="E35" s="36"/>
      <c r="F35" s="36"/>
      <c r="G35" s="36"/>
      <c r="H35" s="257"/>
      <c r="I35" s="247"/>
      <c r="J35" s="247"/>
      <c r="K35" s="247"/>
      <c r="L35" s="258"/>
    </row>
    <row r="36" spans="2:12" x14ac:dyDescent="0.2">
      <c r="B36" s="194" t="s">
        <v>62</v>
      </c>
      <c r="C36" s="238"/>
      <c r="D36" s="36">
        <f>'balance sheet1'!C17-'balance sheet1'!D17</f>
        <v>-824.54</v>
      </c>
      <c r="E36" s="36">
        <f>'balance sheet1'!D17-'balance sheet1'!E17</f>
        <v>-158.01999999999998</v>
      </c>
      <c r="F36" s="36">
        <f>'balance sheet1'!E17-'balance sheet1'!F17</f>
        <v>-16.560000000000059</v>
      </c>
      <c r="G36" s="36">
        <f>'balance sheet1'!F17-'balance sheet1'!G17</f>
        <v>847.92000000000007</v>
      </c>
      <c r="H36" s="257">
        <f>'balance sheet1'!G17-'balance sheet1'!H17</f>
        <v>0</v>
      </c>
      <c r="I36" s="247">
        <f>'balance sheet1'!H17-'balance sheet1'!I17</f>
        <v>0</v>
      </c>
      <c r="J36" s="247">
        <f>'balance sheet1'!I17-'balance sheet1'!J17</f>
        <v>0</v>
      </c>
      <c r="K36" s="247">
        <f>'balance sheet1'!J17-'balance sheet1'!K17</f>
        <v>0</v>
      </c>
      <c r="L36" s="258">
        <f>'balance sheet1'!K17-'balance sheet1'!L17</f>
        <v>0</v>
      </c>
    </row>
    <row r="37" spans="2:12" ht="27.75" x14ac:dyDescent="0.2">
      <c r="B37" s="195" t="s">
        <v>88</v>
      </c>
      <c r="C37" s="238"/>
      <c r="D37" s="36">
        <f>'balance sheet1'!D59-'balance sheet1'!C59</f>
        <v>76.53</v>
      </c>
      <c r="E37" s="36">
        <f>'balance sheet1'!E59-'balance sheet1'!D59</f>
        <v>-79.73</v>
      </c>
      <c r="F37" s="36">
        <f>'balance sheet1'!F59-'balance sheet1'!E59</f>
        <v>0</v>
      </c>
      <c r="G37" s="36">
        <f>'balance sheet1'!G59-'balance sheet1'!F59</f>
        <v>0</v>
      </c>
      <c r="H37" s="257">
        <f>'balance sheet1'!H59-'balance sheet1'!G59</f>
        <v>0</v>
      </c>
      <c r="I37" s="247">
        <f>'balance sheet1'!I59-'balance sheet1'!H59</f>
        <v>0</v>
      </c>
      <c r="J37" s="247">
        <f>'balance sheet1'!J59-'balance sheet1'!I59</f>
        <v>0</v>
      </c>
      <c r="K37" s="247">
        <f>'balance sheet1'!K59-'balance sheet1'!J59</f>
        <v>0</v>
      </c>
      <c r="L37" s="258">
        <f>'balance sheet1'!L59-'balance sheet1'!K59</f>
        <v>0</v>
      </c>
    </row>
    <row r="38" spans="2:12" x14ac:dyDescent="0.2">
      <c r="B38" s="192" t="s">
        <v>168</v>
      </c>
      <c r="C38" s="240"/>
      <c r="D38" s="42">
        <f t="shared" ref="D38:L38" si="2">SUM(D29:D37)</f>
        <v>1023.2500000000136</v>
      </c>
      <c r="E38" s="42">
        <f t="shared" si="2"/>
        <v>-3959.8300000000113</v>
      </c>
      <c r="F38" s="42">
        <f t="shared" si="2"/>
        <v>-10691.910000000009</v>
      </c>
      <c r="G38" s="42">
        <f t="shared" si="2"/>
        <v>-25884.499999999993</v>
      </c>
      <c r="H38" s="259">
        <f t="shared" si="2"/>
        <v>-16380.488216232803</v>
      </c>
      <c r="I38" s="249">
        <f t="shared" si="2"/>
        <v>-12661.472605436122</v>
      </c>
      <c r="J38" s="249">
        <f t="shared" si="2"/>
        <v>-13476.529441595791</v>
      </c>
      <c r="K38" s="249">
        <f t="shared" si="2"/>
        <v>-13758.105138705421</v>
      </c>
      <c r="L38" s="260">
        <f t="shared" si="2"/>
        <v>-14349.255520339495</v>
      </c>
    </row>
    <row r="39" spans="2:12" x14ac:dyDescent="0.2">
      <c r="B39" s="193"/>
      <c r="C39" s="238"/>
      <c r="D39" s="47"/>
      <c r="E39" s="47"/>
      <c r="F39" s="47"/>
      <c r="G39" s="47"/>
      <c r="H39" s="257"/>
      <c r="I39" s="247"/>
      <c r="J39" s="247"/>
      <c r="K39" s="247"/>
      <c r="L39" s="258"/>
    </row>
    <row r="40" spans="2:12" x14ac:dyDescent="0.2">
      <c r="B40" s="190" t="s">
        <v>169</v>
      </c>
      <c r="C40" s="241"/>
      <c r="D40" s="47"/>
      <c r="E40" s="47"/>
      <c r="F40" s="47"/>
      <c r="G40" s="47"/>
      <c r="H40" s="261"/>
      <c r="I40" s="251"/>
      <c r="J40" s="251"/>
      <c r="K40" s="251"/>
      <c r="L40" s="262"/>
    </row>
    <row r="41" spans="2:12" x14ac:dyDescent="0.2">
      <c r="B41" s="191" t="s">
        <v>66</v>
      </c>
      <c r="C41" s="238"/>
      <c r="D41" s="36">
        <f>'balance sheet1'!D75-'balance sheet1'!C75</f>
        <v>9.9999999999965894E-2</v>
      </c>
      <c r="E41" s="36">
        <f>'balance sheet1'!E75-'balance sheet1'!D75</f>
        <v>9.0000000000031832E-2</v>
      </c>
      <c r="F41" s="36">
        <f>'balance sheet1'!F75-'balance sheet1'!E75</f>
        <v>-6.1700000000000159</v>
      </c>
      <c r="G41" s="36">
        <f>'balance sheet1'!G75-'balance sheet1'!F75</f>
        <v>0.11000000000001364</v>
      </c>
      <c r="H41" s="257">
        <f>'balance sheet1'!H75-'balance sheet1'!G75</f>
        <v>0</v>
      </c>
      <c r="I41" s="247">
        <f>'balance sheet1'!I75-'balance sheet1'!H75</f>
        <v>0</v>
      </c>
      <c r="J41" s="247">
        <f>'balance sheet1'!J75-'balance sheet1'!I75</f>
        <v>0</v>
      </c>
      <c r="K41" s="247">
        <f>'balance sheet1'!K75-'balance sheet1'!J75</f>
        <v>0</v>
      </c>
      <c r="L41" s="258">
        <f>'balance sheet1'!L75-'balance sheet1'!K75</f>
        <v>0</v>
      </c>
    </row>
    <row r="42" spans="2:12" x14ac:dyDescent="0.2">
      <c r="B42" s="191" t="s">
        <v>69</v>
      </c>
      <c r="C42" s="238"/>
      <c r="D42" s="36">
        <f>'balance sheet1'!D78-'balance sheet1'!C78</f>
        <v>914.53999999999905</v>
      </c>
      <c r="E42" s="36">
        <f>'balance sheet1'!E78-'balance sheet1'!D78</f>
        <v>1275.2000000000007</v>
      </c>
      <c r="F42" s="36">
        <f>'balance sheet1'!F78-'balance sheet1'!E78</f>
        <v>1949.1499999999996</v>
      </c>
      <c r="G42" s="36">
        <f>'balance sheet1'!G78-'balance sheet1'!F78</f>
        <v>1557.6600000000017</v>
      </c>
      <c r="H42" s="257">
        <f>'balance sheet1'!H78-'balance sheet1'!G78</f>
        <v>0</v>
      </c>
      <c r="I42" s="247">
        <f>'balance sheet1'!I78-'balance sheet1'!H78</f>
        <v>0</v>
      </c>
      <c r="J42" s="247">
        <f>'balance sheet1'!J78-'balance sheet1'!I78</f>
        <v>0</v>
      </c>
      <c r="K42" s="247">
        <f>'balance sheet1'!K78-'balance sheet1'!J78</f>
        <v>0</v>
      </c>
      <c r="L42" s="258">
        <f>'balance sheet1'!L78-'balance sheet1'!K78</f>
        <v>0</v>
      </c>
    </row>
    <row r="43" spans="2:12" x14ac:dyDescent="0.2">
      <c r="B43" s="191" t="s">
        <v>73</v>
      </c>
      <c r="C43" s="238"/>
      <c r="D43" s="36">
        <f>'balance sheet1'!D64-'balance sheet1'!C64</f>
        <v>-20501.729999999996</v>
      </c>
      <c r="E43" s="36">
        <f>'balance sheet1'!E64-'balance sheet1'!D64</f>
        <v>-400.62999999999738</v>
      </c>
      <c r="F43" s="36">
        <f>'balance sheet1'!F64-'balance sheet1'!E64</f>
        <v>-4710.7099999999991</v>
      </c>
      <c r="G43" s="36">
        <f>'balance sheet1'!G64-'balance sheet1'!F64</f>
        <v>996.36999999999534</v>
      </c>
      <c r="H43" s="257">
        <f>'balance sheet1'!H64-'balance sheet1'!G64</f>
        <v>499.33200000000215</v>
      </c>
      <c r="I43" s="247">
        <f>'balance sheet1'!I64-'balance sheet1'!H64</f>
        <v>-14500.667999999998</v>
      </c>
      <c r="J43" s="247">
        <f>'balance sheet1'!J64-'balance sheet1'!I64</f>
        <v>-14500.667999999998</v>
      </c>
      <c r="K43" s="247">
        <f>'balance sheet1'!K64-'balance sheet1'!J64</f>
        <v>-14500.668</v>
      </c>
      <c r="L43" s="258">
        <f>'balance sheet1'!L64-'balance sheet1'!K64</f>
        <v>-14500.668000000003</v>
      </c>
    </row>
    <row r="44" spans="2:12" x14ac:dyDescent="0.2">
      <c r="B44" s="191" t="s">
        <v>74</v>
      </c>
      <c r="C44" s="238"/>
      <c r="D44" s="36">
        <f>'balance sheet1'!D65-'balance sheet1'!C65</f>
        <v>15.589999999999918</v>
      </c>
      <c r="E44" s="36">
        <f>'balance sheet1'!E65-'balance sheet1'!D65</f>
        <v>13</v>
      </c>
      <c r="F44" s="36">
        <f>'balance sheet1'!F65-'balance sheet1'!E65</f>
        <v>88.470000000000027</v>
      </c>
      <c r="G44" s="36">
        <f>'balance sheet1'!G65-'balance sheet1'!F65</f>
        <v>530.45999999999981</v>
      </c>
      <c r="H44" s="257">
        <f>'balance sheet1'!H65-'balance sheet1'!G65</f>
        <v>485.64695417856592</v>
      </c>
      <c r="I44" s="247">
        <f>'balance sheet1'!I65-'balance sheet1'!H65</f>
        <v>187.14853574307244</v>
      </c>
      <c r="J44" s="247">
        <f>'balance sheet1'!J65-'balance sheet1'!I65</f>
        <v>235.61695135837772</v>
      </c>
      <c r="K44" s="247">
        <f>'balance sheet1'!K65-'balance sheet1'!J65</f>
        <v>298.6246426625421</v>
      </c>
      <c r="L44" s="258">
        <f>'balance sheet1'!L65-'balance sheet1'!K65</f>
        <v>391.21277646830004</v>
      </c>
    </row>
    <row r="45" spans="2:12" x14ac:dyDescent="0.2">
      <c r="B45" s="191" t="s">
        <v>73</v>
      </c>
      <c r="C45" s="238"/>
      <c r="D45" s="36">
        <f>'balance sheet1'!D47-'balance sheet1'!C47</f>
        <v>2711.1299999999974</v>
      </c>
      <c r="E45" s="36">
        <f>'balance sheet1'!E47-'balance sheet1'!D47</f>
        <v>419.36000000000058</v>
      </c>
      <c r="F45" s="36">
        <f>'balance sheet1'!F47-'balance sheet1'!E47</f>
        <v>-3062.0499999999993</v>
      </c>
      <c r="G45" s="36">
        <f>'balance sheet1'!G47-'balance sheet1'!F47</f>
        <v>8027.0300000000025</v>
      </c>
      <c r="H45" s="257">
        <f>'balance sheet1'!H47-'balance sheet1'!G47</f>
        <v>5211.2102218209839</v>
      </c>
      <c r="I45" s="247">
        <f>'balance sheet1'!I47-'balance sheet1'!H47</f>
        <v>6071.7075931105937</v>
      </c>
      <c r="J45" s="247">
        <f>'balance sheet1'!J47-'balance sheet1'!I47</f>
        <v>7076.8188079876418</v>
      </c>
      <c r="K45" s="247">
        <f>'balance sheet1'!K47-'balance sheet1'!J47</f>
        <v>8251.1378744805916</v>
      </c>
      <c r="L45" s="258">
        <f>'balance sheet1'!L47-'balance sheet1'!K47</f>
        <v>9623.4742490064964</v>
      </c>
    </row>
    <row r="46" spans="2:12" x14ac:dyDescent="0.2">
      <c r="B46" s="191" t="s">
        <v>81</v>
      </c>
      <c r="C46" s="238"/>
      <c r="D46" s="36">
        <f>'balance sheet1'!D48-'balance sheet1'!C48</f>
        <v>8653.57</v>
      </c>
      <c r="E46" s="36">
        <f>'balance sheet1'!E48-'balance sheet1'!D48</f>
        <v>-4973.5799999999981</v>
      </c>
      <c r="F46" s="36">
        <f>'balance sheet1'!F48-'balance sheet1'!E48</f>
        <v>3299.1499999999978</v>
      </c>
      <c r="G46" s="36">
        <f>'balance sheet1'!G48-'balance sheet1'!F48</f>
        <v>6496.1699999999983</v>
      </c>
      <c r="H46" s="257">
        <f>'balance sheet1'!H48-'balance sheet1'!G48</f>
        <v>-8677.56109075313</v>
      </c>
      <c r="I46" s="247">
        <f>'balance sheet1'!I48-'balance sheet1'!H48</f>
        <v>-5158.7731048694441</v>
      </c>
      <c r="J46" s="247">
        <f>'balance sheet1'!J48-'balance sheet1'!I48</f>
        <v>-7424.8789669891539</v>
      </c>
      <c r="K46" s="247">
        <f>'balance sheet1'!K48-'balance sheet1'!J48</f>
        <v>-7224.0420799244066</v>
      </c>
      <c r="L46" s="258">
        <f>'balance sheet1'!L48-'balance sheet1'!K48</f>
        <v>-7709.4447574638625</v>
      </c>
    </row>
    <row r="47" spans="2:12" x14ac:dyDescent="0.2">
      <c r="B47" s="191" t="s">
        <v>74</v>
      </c>
      <c r="C47" s="238"/>
      <c r="D47" s="36">
        <f>'balance sheet1'!D49-'balance sheet1'!C49</f>
        <v>0.43999999999999773</v>
      </c>
      <c r="E47" s="36">
        <f>'balance sheet1'!E49-'balance sheet1'!D49</f>
        <v>84.20999999999998</v>
      </c>
      <c r="F47" s="36">
        <f>'balance sheet1'!F49-'balance sheet1'!E49</f>
        <v>56.919999999999959</v>
      </c>
      <c r="G47" s="36">
        <f>'balance sheet1'!G49-'balance sheet1'!F49</f>
        <v>36.670000000000073</v>
      </c>
      <c r="H47" s="257">
        <f>'balance sheet1'!H49-'balance sheet1'!G49</f>
        <v>111.31363306638434</v>
      </c>
      <c r="I47" s="247">
        <f>'balance sheet1'!I49-'balance sheet1'!H49</f>
        <v>102.83777210724543</v>
      </c>
      <c r="J47" s="247">
        <f>'balance sheet1'!J49-'balance sheet1'!I49</f>
        <v>119.86154943394786</v>
      </c>
      <c r="K47" s="247">
        <f>'balance sheet1'!K49-'balance sheet1'!J49</f>
        <v>139.75123527425785</v>
      </c>
      <c r="L47" s="258">
        <f>'balance sheet1'!L49-'balance sheet1'!K49</f>
        <v>162.99478137290612</v>
      </c>
    </row>
    <row r="48" spans="2:12" x14ac:dyDescent="0.2">
      <c r="B48" s="191" t="s">
        <v>133</v>
      </c>
      <c r="C48" s="238"/>
      <c r="D48" s="36">
        <f>-'income statement'!D24</f>
        <v>-3669.8831999999984</v>
      </c>
      <c r="E48" s="36">
        <f>-'income statement'!E24</f>
        <v>-3996.441600000006</v>
      </c>
      <c r="F48" s="36">
        <f>-'income statement'!F24</f>
        <v>-5571.399599999997</v>
      </c>
      <c r="G48" s="36">
        <f>-'income statement'!G24</f>
        <v>-5335.9091000000117</v>
      </c>
      <c r="H48" s="257">
        <f>-'income statement'!H24</f>
        <v>-7405.7394600290399</v>
      </c>
      <c r="I48" s="247">
        <f>-'income statement'!I24</f>
        <v>-7479.3965554583456</v>
      </c>
      <c r="J48" s="247">
        <f>-'income statement'!J24</f>
        <v>-7344.6090560905386</v>
      </c>
      <c r="K48" s="247">
        <f>-'income statement'!K24</f>
        <v>-6438.0315672649667</v>
      </c>
      <c r="L48" s="258">
        <f>-'income statement'!L24</f>
        <v>-5405.782563196959</v>
      </c>
    </row>
    <row r="49" spans="2:12" x14ac:dyDescent="0.2">
      <c r="B49" s="191" t="s">
        <v>170</v>
      </c>
      <c r="C49" s="238"/>
      <c r="D49" s="36">
        <f>-'income statement'!D18</f>
        <v>-3125.7</v>
      </c>
      <c r="E49" s="36">
        <f>-'income statement'!E18</f>
        <v>-3207.16</v>
      </c>
      <c r="F49" s="36">
        <f>-'income statement'!F18</f>
        <v>-3545.85</v>
      </c>
      <c r="G49" s="36">
        <f>-'income statement'!G18</f>
        <v>-3334.37</v>
      </c>
      <c r="H49" s="257">
        <f>-'income statement'!H18</f>
        <v>-3734.2674020976633</v>
      </c>
      <c r="I49" s="247">
        <f>-'income statement'!I18</f>
        <v>-2987.4139216781305</v>
      </c>
      <c r="J49" s="247">
        <f>-'income statement'!J18</f>
        <v>-2240.5604412585981</v>
      </c>
      <c r="K49" s="247">
        <f>-'income statement'!K18</f>
        <v>-1493.7069608390655</v>
      </c>
      <c r="L49" s="258">
        <f>-'income statement'!L18</f>
        <v>-746.85348041953284</v>
      </c>
    </row>
    <row r="50" spans="2:12" x14ac:dyDescent="0.2">
      <c r="B50" s="192" t="s">
        <v>171</v>
      </c>
      <c r="C50" s="240"/>
      <c r="D50" s="42">
        <f t="shared" ref="D50:L50" si="3">SUM(D41:D49)</f>
        <v>-15001.943199999998</v>
      </c>
      <c r="E50" s="42">
        <f t="shared" si="3"/>
        <v>-10785.9516</v>
      </c>
      <c r="F50" s="42">
        <f t="shared" si="3"/>
        <v>-11502.489599999997</v>
      </c>
      <c r="G50" s="42">
        <f t="shared" si="3"/>
        <v>8974.1908999999832</v>
      </c>
      <c r="H50" s="259">
        <f t="shared" si="3"/>
        <v>-13510.065143813896</v>
      </c>
      <c r="I50" s="249">
        <f t="shared" si="3"/>
        <v>-23764.557681045007</v>
      </c>
      <c r="J50" s="249">
        <f t="shared" si="3"/>
        <v>-24078.419155558324</v>
      </c>
      <c r="K50" s="249">
        <f t="shared" si="3"/>
        <v>-20966.934855611049</v>
      </c>
      <c r="L50" s="260">
        <f t="shared" si="3"/>
        <v>-18185.066994232653</v>
      </c>
    </row>
    <row r="51" spans="2:12" ht="15.75" thickBot="1" x14ac:dyDescent="0.25">
      <c r="B51" s="196"/>
      <c r="C51" s="241"/>
      <c r="D51" s="47"/>
      <c r="E51" s="47"/>
      <c r="F51" s="47"/>
      <c r="G51" s="47"/>
      <c r="H51" s="261"/>
      <c r="I51" s="251"/>
      <c r="J51" s="251"/>
      <c r="K51" s="251"/>
      <c r="L51" s="262"/>
    </row>
    <row r="52" spans="2:12" ht="15.75" thickBot="1" x14ac:dyDescent="0.25">
      <c r="B52" s="197" t="s">
        <v>119</v>
      </c>
      <c r="C52" s="242">
        <f t="shared" ref="C52:L52" si="4">C26+C38+C50</f>
        <v>0</v>
      </c>
      <c r="D52" s="58">
        <f t="shared" si="4"/>
        <v>4598.5368000000126</v>
      </c>
      <c r="E52" s="58">
        <f t="shared" si="4"/>
        <v>9214.8484000000171</v>
      </c>
      <c r="F52" s="58">
        <f t="shared" si="4"/>
        <v>12844.450399999991</v>
      </c>
      <c r="G52" s="58">
        <f t="shared" si="4"/>
        <v>6700.3509000000195</v>
      </c>
      <c r="H52" s="263">
        <f t="shared" si="4"/>
        <v>13961.136593894411</v>
      </c>
      <c r="I52" s="264">
        <f t="shared" si="4"/>
        <v>-8846.2082880304752</v>
      </c>
      <c r="J52" s="264">
        <f t="shared" si="4"/>
        <v>-11925.354513875736</v>
      </c>
      <c r="K52" s="264">
        <f t="shared" si="4"/>
        <v>-9567.0424798475506</v>
      </c>
      <c r="L52" s="265">
        <f t="shared" si="4"/>
        <v>-8105.7193449481711</v>
      </c>
    </row>
    <row r="53" spans="2:12" x14ac:dyDescent="0.2">
      <c r="B53" s="191" t="s">
        <v>172</v>
      </c>
      <c r="C53" s="243">
        <v>0</v>
      </c>
      <c r="D53" s="244">
        <f>'balance sheet1'!C10</f>
        <v>13373.52</v>
      </c>
      <c r="E53" s="244">
        <f>'balance sheet1'!D10</f>
        <v>13770.24</v>
      </c>
      <c r="F53" s="244">
        <f>'balance sheet1'!E10</f>
        <v>16926.689999999999</v>
      </c>
      <c r="G53" s="244">
        <f>'balance sheet1'!F10</f>
        <v>11958.5</v>
      </c>
      <c r="H53" s="266">
        <f>G56</f>
        <v>12186.999999999995</v>
      </c>
      <c r="I53" s="267">
        <f>H56</f>
        <v>18720.630613717734</v>
      </c>
      <c r="J53" s="267">
        <f>I56</f>
        <v>2373.0427614159244</v>
      </c>
      <c r="K53" s="267">
        <f>J56</f>
        <v>-16918.507657758149</v>
      </c>
      <c r="L53" s="268">
        <f>K56</f>
        <v>-32942.50399407302</v>
      </c>
    </row>
    <row r="54" spans="2:12" x14ac:dyDescent="0.2">
      <c r="B54" s="198" t="s">
        <v>173</v>
      </c>
      <c r="C54" s="243"/>
      <c r="D54" s="244">
        <f>'income statement'!D29</f>
        <v>14.793200000001889</v>
      </c>
      <c r="E54" s="244">
        <f>'income statement'!E29</f>
        <v>-1574.238400000002</v>
      </c>
      <c r="F54" s="244">
        <f>'income statement'!F29</f>
        <v>-12865.250400000004</v>
      </c>
      <c r="G54" s="244">
        <f>'income statement'!G29</f>
        <v>-580.45090000002529</v>
      </c>
      <c r="H54" s="266">
        <f>'income statement'!H29</f>
        <v>0</v>
      </c>
      <c r="I54" s="267">
        <f>'income statement'!I29</f>
        <v>0</v>
      </c>
      <c r="J54" s="267">
        <f>'income statement'!J29</f>
        <v>0</v>
      </c>
      <c r="K54" s="267">
        <f>'income statement'!K29</f>
        <v>0</v>
      </c>
      <c r="L54" s="268">
        <f>'income statement'!L29</f>
        <v>-1.4551915228366852E-11</v>
      </c>
    </row>
    <row r="55" spans="2:12" ht="15.75" thickBot="1" x14ac:dyDescent="0.25">
      <c r="B55" s="191" t="s">
        <v>174</v>
      </c>
      <c r="C55" s="243">
        <v>0</v>
      </c>
      <c r="D55" s="244">
        <f>-'income statement'!D20</f>
        <v>-4216.6099999999997</v>
      </c>
      <c r="E55" s="244">
        <f>-'income statement'!E20</f>
        <v>-4484.16</v>
      </c>
      <c r="F55" s="244">
        <f>-'income statement'!F20</f>
        <v>-4947.3900000000003</v>
      </c>
      <c r="G55" s="244">
        <f>-'income statement'!G20</f>
        <v>-5891.4</v>
      </c>
      <c r="H55" s="266">
        <f>-'income statement'!H20</f>
        <v>-7427.5059801766738</v>
      </c>
      <c r="I55" s="267">
        <f>-'income statement'!I20</f>
        <v>-7501.3795642713349</v>
      </c>
      <c r="J55" s="267">
        <f>-'income statement'!J20</f>
        <v>-7366.1959052983366</v>
      </c>
      <c r="K55" s="267">
        <f>-'income statement'!K20</f>
        <v>-6456.953856467323</v>
      </c>
      <c r="L55" s="268">
        <f>-'income statement'!L20</f>
        <v>-5421.670925960816</v>
      </c>
    </row>
    <row r="56" spans="2:12" ht="15.75" thickBot="1" x14ac:dyDescent="0.25">
      <c r="B56" s="199" t="s">
        <v>175</v>
      </c>
      <c r="C56" s="245">
        <v>0</v>
      </c>
      <c r="D56" s="246">
        <f>SUM(D52:D55)</f>
        <v>13770.240000000013</v>
      </c>
      <c r="E56" s="246">
        <f t="shared" ref="E56:L56" si="5">SUM(E52:E55)</f>
        <v>16926.690000000013</v>
      </c>
      <c r="F56" s="246">
        <f t="shared" si="5"/>
        <v>11958.499999999985</v>
      </c>
      <c r="G56" s="246">
        <f>SUM(G52:G55)</f>
        <v>12186.999999999995</v>
      </c>
      <c r="H56" s="269">
        <f>SUM(H52:H55)</f>
        <v>18720.630613717734</v>
      </c>
      <c r="I56" s="270">
        <f t="shared" si="5"/>
        <v>2373.0427614159244</v>
      </c>
      <c r="J56" s="270">
        <f t="shared" si="5"/>
        <v>-16918.507657758149</v>
      </c>
      <c r="K56" s="270">
        <f>SUM(K52:K55)</f>
        <v>-32942.50399407302</v>
      </c>
      <c r="L56" s="271">
        <f t="shared" si="5"/>
        <v>-46469.894264982024</v>
      </c>
    </row>
    <row r="60" spans="2:12" x14ac:dyDescent="0.2">
      <c r="D60" s="120">
        <f>D56-E53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53D7-5BE5-4DF8-9F4E-EE528C8E7D48}">
  <sheetPr codeName="Sheet7"/>
  <dimension ref="B2:L82"/>
  <sheetViews>
    <sheetView showGridLines="0" zoomScale="88" workbookViewId="0">
      <pane xSplit="1" ySplit="5" topLeftCell="B8" activePane="bottomRight" state="frozen"/>
      <selection pane="bottomLeft" activeCell="A5" sqref="A5"/>
      <selection pane="topRight" activeCell="B1" sqref="B1"/>
      <selection pane="bottomRight" activeCell="B6" sqref="B6:L80"/>
    </sheetView>
  </sheetViews>
  <sheetFormatPr defaultRowHeight="15" x14ac:dyDescent="0.2"/>
  <cols>
    <col min="1" max="1" width="1.74609375" customWidth="1"/>
    <col min="2" max="2" width="35.109375" bestFit="1" customWidth="1"/>
    <col min="3" max="7" width="9.28125" bestFit="1" customWidth="1"/>
    <col min="8" max="12" width="9.68359375" bestFit="1" customWidth="1"/>
  </cols>
  <sheetData>
    <row r="2" spans="2:12" x14ac:dyDescent="0.2">
      <c r="L2" s="33" t="s">
        <v>120</v>
      </c>
    </row>
    <row r="3" spans="2:12" ht="29.25" x14ac:dyDescent="0.4">
      <c r="B3" s="5" t="s">
        <v>33</v>
      </c>
    </row>
    <row r="4" spans="2:12" x14ac:dyDescent="0.2">
      <c r="B4" t="s">
        <v>122</v>
      </c>
    </row>
    <row r="5" spans="2:12" x14ac:dyDescent="0.2">
      <c r="B5" s="6" t="s">
        <v>123</v>
      </c>
      <c r="C5" s="34">
        <v>44389</v>
      </c>
      <c r="D5" s="34">
        <f>C5+365</f>
        <v>44754</v>
      </c>
      <c r="E5" s="34">
        <f>D5+365</f>
        <v>45119</v>
      </c>
      <c r="F5" s="34">
        <f t="shared" ref="F5:L5" si="0">E5+365</f>
        <v>45484</v>
      </c>
      <c r="G5" s="34">
        <f t="shared" si="0"/>
        <v>45849</v>
      </c>
      <c r="H5" s="35">
        <f t="shared" si="0"/>
        <v>46214</v>
      </c>
      <c r="I5" s="35">
        <f t="shared" si="0"/>
        <v>46579</v>
      </c>
      <c r="J5" s="35">
        <f t="shared" si="0"/>
        <v>46944</v>
      </c>
      <c r="K5" s="35">
        <f t="shared" si="0"/>
        <v>47309</v>
      </c>
      <c r="L5" s="35">
        <f t="shared" si="0"/>
        <v>47674</v>
      </c>
    </row>
    <row r="6" spans="2:12" x14ac:dyDescent="0.2">
      <c r="B6" s="200" t="s">
        <v>138</v>
      </c>
      <c r="C6" s="236"/>
      <c r="D6" s="201"/>
      <c r="E6" s="201"/>
      <c r="F6" s="201"/>
      <c r="G6" s="237"/>
      <c r="H6" s="229"/>
      <c r="I6" s="202"/>
      <c r="J6" s="202"/>
      <c r="K6" s="202"/>
      <c r="L6" s="203"/>
    </row>
    <row r="7" spans="2:12" x14ac:dyDescent="0.2">
      <c r="B7" s="204" t="s">
        <v>55</v>
      </c>
      <c r="C7" s="238">
        <f>bs!B25</f>
        <v>5820.54</v>
      </c>
      <c r="D7" s="36">
        <f>bs!C25</f>
        <v>5943.32</v>
      </c>
      <c r="E7" s="36">
        <f>bs!D25</f>
        <v>6828.78</v>
      </c>
      <c r="F7" s="36">
        <f>bs!E25</f>
        <v>6620.19</v>
      </c>
      <c r="G7" s="55">
        <f>bs!F25</f>
        <v>7670.55</v>
      </c>
      <c r="H7" s="230">
        <f>'bs drivers'!H6</f>
        <v>11408.642575667416</v>
      </c>
      <c r="I7" s="37">
        <f>'bs drivers'!I6</f>
        <v>12918.469096205927</v>
      </c>
      <c r="J7" s="37">
        <f>'bs drivers'!J6</f>
        <v>14471.987995094554</v>
      </c>
      <c r="K7" s="37">
        <f>'bs drivers'!K6</f>
        <v>15981.211650120413</v>
      </c>
      <c r="L7" s="205">
        <f>'bs drivers'!L6</f>
        <v>17348.48722651778</v>
      </c>
    </row>
    <row r="8" spans="2:12" x14ac:dyDescent="0.2">
      <c r="B8" s="204" t="s">
        <v>56</v>
      </c>
      <c r="C8" s="238">
        <f>bs!B26</f>
        <v>31011.23</v>
      </c>
      <c r="D8" s="36">
        <f>bs!C26</f>
        <v>29799.58</v>
      </c>
      <c r="E8" s="36">
        <f>bs!D26</f>
        <v>35573.42</v>
      </c>
      <c r="F8" s="36">
        <f>bs!E26</f>
        <v>34957.629999999997</v>
      </c>
      <c r="G8" s="55">
        <f>bs!F26</f>
        <v>43360.62</v>
      </c>
      <c r="H8" s="230">
        <f>'bs drivers'!H10</f>
        <v>54078.46968423279</v>
      </c>
      <c r="I8" s="37">
        <f>'bs drivers'!I10</f>
        <v>60643.548324616218</v>
      </c>
      <c r="J8" s="37">
        <f>'bs drivers'!J10</f>
        <v>67531.067191126014</v>
      </c>
      <c r="K8" s="37">
        <f>'bs drivers'!K10</f>
        <v>74133.819627238423</v>
      </c>
      <c r="L8" s="205">
        <f>'bs drivers'!L10</f>
        <v>80677.092936889589</v>
      </c>
    </row>
    <row r="9" spans="2:12" x14ac:dyDescent="0.2">
      <c r="B9" s="204" t="s">
        <v>57</v>
      </c>
      <c r="C9" s="238">
        <f>bs!B27</f>
        <v>42229.78</v>
      </c>
      <c r="D9" s="36">
        <f>bs!C27</f>
        <v>46139.32</v>
      </c>
      <c r="E9" s="36">
        <f>bs!D27</f>
        <v>44731.53</v>
      </c>
      <c r="F9" s="36">
        <f>bs!E27</f>
        <v>48770.95</v>
      </c>
      <c r="G9" s="55">
        <f>bs!F27</f>
        <v>53713.68</v>
      </c>
      <c r="H9" s="230">
        <f>'bs drivers'!H14</f>
        <v>73624.739128236688</v>
      </c>
      <c r="I9" s="37">
        <f>'bs drivers'!I14</f>
        <v>82562.717681936687</v>
      </c>
      <c r="J9" s="37">
        <f>'bs drivers'!J14</f>
        <v>91939.680135728922</v>
      </c>
      <c r="K9" s="37">
        <f>'bs drivers'!K14</f>
        <v>100928.94940454555</v>
      </c>
      <c r="L9" s="205">
        <f>'bs drivers'!L14</f>
        <v>109837.24124935489</v>
      </c>
    </row>
    <row r="10" spans="2:12" x14ac:dyDescent="0.2">
      <c r="B10" s="204" t="s">
        <v>58</v>
      </c>
      <c r="C10" s="272">
        <f>bs!B28</f>
        <v>13373.52</v>
      </c>
      <c r="D10" s="273">
        <f>bs!C28</f>
        <v>13770.24</v>
      </c>
      <c r="E10" s="273">
        <f>bs!D28</f>
        <v>16926.689999999999</v>
      </c>
      <c r="F10" s="273">
        <f>bs!E28</f>
        <v>11958.5</v>
      </c>
      <c r="G10" s="274">
        <f>bs!F28</f>
        <v>12187</v>
      </c>
      <c r="H10" s="272">
        <f>cashflow1!H56</f>
        <v>18720.630613717734</v>
      </c>
      <c r="I10" s="273">
        <f>cashflow1!I56</f>
        <v>2373.0427614159244</v>
      </c>
      <c r="J10" s="273">
        <f>cashflow1!J56</f>
        <v>-16918.507657758149</v>
      </c>
      <c r="K10" s="273">
        <f>cashflow1!K56</f>
        <v>-32942.50399407302</v>
      </c>
      <c r="L10" s="274">
        <f>cashflow1!L56</f>
        <v>-46469.894264982024</v>
      </c>
    </row>
    <row r="11" spans="2:12" x14ac:dyDescent="0.2">
      <c r="B11" s="204" t="s">
        <v>59</v>
      </c>
      <c r="C11" s="238">
        <f>bs!B29</f>
        <v>2867.98</v>
      </c>
      <c r="D11" s="36">
        <f>bs!C29</f>
        <v>5182.93</v>
      </c>
      <c r="E11" s="36">
        <f>bs!D29</f>
        <v>5592.91</v>
      </c>
      <c r="F11" s="36">
        <f>bs!E29</f>
        <v>3399.89</v>
      </c>
      <c r="G11" s="55">
        <f>bs!F29</f>
        <v>10778.34</v>
      </c>
      <c r="H11" s="230">
        <f>'bs drivers'!H18</f>
        <v>8181.6054120605713</v>
      </c>
      <c r="I11" s="37">
        <f>'bs drivers'!I18</f>
        <v>9174.8451107502133</v>
      </c>
      <c r="J11" s="37">
        <f>'bs drivers'!J18</f>
        <v>10216.867230883092</v>
      </c>
      <c r="K11" s="37">
        <f>'bs drivers'!K18</f>
        <v>11215.806649495078</v>
      </c>
      <c r="L11" s="205">
        <f>'bs drivers'!L18</f>
        <v>12205.747389967659</v>
      </c>
    </row>
    <row r="12" spans="2:12" x14ac:dyDescent="0.2">
      <c r="B12" s="204" t="s">
        <v>47</v>
      </c>
      <c r="C12" s="238">
        <f>bs!B30</f>
        <v>41379.03</v>
      </c>
      <c r="D12" s="36">
        <f>bs!C30</f>
        <v>42269.2</v>
      </c>
      <c r="E12" s="36">
        <f>bs!D30</f>
        <v>40460.550000000003</v>
      </c>
      <c r="F12" s="36">
        <f>bs!E30</f>
        <v>34814.589999999997</v>
      </c>
      <c r="G12" s="55">
        <f>bs!F30</f>
        <v>36077.51</v>
      </c>
      <c r="H12" s="230">
        <f>'bs drivers'!H22</f>
        <v>36077.51</v>
      </c>
      <c r="I12" s="37">
        <f>'bs drivers'!I22</f>
        <v>36077.51</v>
      </c>
      <c r="J12" s="37">
        <f>'bs drivers'!J22</f>
        <v>36077.51</v>
      </c>
      <c r="K12" s="37">
        <f>'bs drivers'!K22</f>
        <v>36077.51</v>
      </c>
      <c r="L12" s="205">
        <f>'bs drivers'!L22</f>
        <v>36077.51</v>
      </c>
    </row>
    <row r="13" spans="2:12" x14ac:dyDescent="0.2">
      <c r="B13" s="204" t="s">
        <v>48</v>
      </c>
      <c r="C13" s="238">
        <f>bs!B31</f>
        <v>235.35</v>
      </c>
      <c r="D13" s="36">
        <f>bs!C31</f>
        <v>280.33999999999997</v>
      </c>
      <c r="E13" s="36">
        <f>bs!D31</f>
        <v>251.15</v>
      </c>
      <c r="F13" s="36">
        <f>bs!E31</f>
        <v>106.54</v>
      </c>
      <c r="G13" s="55">
        <f>bs!F31</f>
        <v>416.85</v>
      </c>
      <c r="H13" s="230">
        <f>'bs drivers'!H24</f>
        <v>416.85</v>
      </c>
      <c r="I13" s="37">
        <f>'bs drivers'!I24</f>
        <v>416.85</v>
      </c>
      <c r="J13" s="37">
        <f>'bs drivers'!J24</f>
        <v>416.85</v>
      </c>
      <c r="K13" s="37">
        <f>'bs drivers'!K24</f>
        <v>416.85</v>
      </c>
      <c r="L13" s="205">
        <f>'bs drivers'!L24</f>
        <v>416.85</v>
      </c>
    </row>
    <row r="14" spans="2:12" x14ac:dyDescent="0.2">
      <c r="B14" s="204" t="s">
        <v>49</v>
      </c>
      <c r="C14" s="238">
        <f>bs!B32</f>
        <v>3251.68</v>
      </c>
      <c r="D14" s="36">
        <f>bs!C32</f>
        <v>3655.82</v>
      </c>
      <c r="E14" s="36">
        <f>bs!D32</f>
        <v>4930.1000000000004</v>
      </c>
      <c r="F14" s="36">
        <f>bs!E32</f>
        <v>5563.92</v>
      </c>
      <c r="G14" s="55">
        <f>bs!F32</f>
        <v>5419.89</v>
      </c>
      <c r="H14" s="230">
        <f>'bs drivers'!H26</f>
        <v>5419.89</v>
      </c>
      <c r="I14" s="37">
        <f>'bs drivers'!I26</f>
        <v>5419.89</v>
      </c>
      <c r="J14" s="37">
        <f>'bs drivers'!J26</f>
        <v>5419.89</v>
      </c>
      <c r="K14" s="37">
        <f>'bs drivers'!K26</f>
        <v>5419.89</v>
      </c>
      <c r="L14" s="205">
        <f>'bs drivers'!L26</f>
        <v>5419.89</v>
      </c>
    </row>
    <row r="15" spans="2:12" x14ac:dyDescent="0.2">
      <c r="B15" s="204" t="s">
        <v>60</v>
      </c>
      <c r="C15" s="238">
        <f>bs!B33</f>
        <v>54791.48</v>
      </c>
      <c r="D15" s="36">
        <f>bs!C33</f>
        <v>60331.55</v>
      </c>
      <c r="E15" s="36">
        <f>bs!D33</f>
        <v>65920.39</v>
      </c>
      <c r="F15" s="36">
        <f>bs!E33</f>
        <v>71391.03</v>
      </c>
      <c r="G15" s="55">
        <f>bs!F33</f>
        <v>75559.83</v>
      </c>
      <c r="H15" s="230">
        <f>'bs drivers'!H28</f>
        <v>75559.83</v>
      </c>
      <c r="I15" s="37">
        <f>'bs drivers'!I28</f>
        <v>75559.83</v>
      </c>
      <c r="J15" s="37">
        <f>'bs drivers'!J28</f>
        <v>75559.83</v>
      </c>
      <c r="K15" s="37">
        <f>'bs drivers'!K28</f>
        <v>75559.83</v>
      </c>
      <c r="L15" s="205">
        <f>'bs drivers'!L28</f>
        <v>75559.83</v>
      </c>
    </row>
    <row r="16" spans="2:12" x14ac:dyDescent="0.2">
      <c r="B16" s="206" t="s">
        <v>61</v>
      </c>
      <c r="C16" s="275">
        <f t="shared" ref="C16:L16" si="1">SUM(C7:C15)</f>
        <v>194960.59</v>
      </c>
      <c r="D16" s="39">
        <f t="shared" si="1"/>
        <v>207372.30000000005</v>
      </c>
      <c r="E16" s="39">
        <f t="shared" si="1"/>
        <v>221215.52000000002</v>
      </c>
      <c r="F16" s="39">
        <f t="shared" si="1"/>
        <v>217583.24000000002</v>
      </c>
      <c r="G16" s="98">
        <f t="shared" si="1"/>
        <v>245184.27000000002</v>
      </c>
      <c r="H16" s="282">
        <f t="shared" si="1"/>
        <v>283488.16741391522</v>
      </c>
      <c r="I16" s="40">
        <f t="shared" si="1"/>
        <v>285146.70297492499</v>
      </c>
      <c r="J16" s="40">
        <f t="shared" si="1"/>
        <v>284715.17489507445</v>
      </c>
      <c r="K16" s="40">
        <f t="shared" si="1"/>
        <v>286791.3633373265</v>
      </c>
      <c r="L16" s="207">
        <f t="shared" si="1"/>
        <v>291072.75453774794</v>
      </c>
    </row>
    <row r="17" spans="2:12" ht="29.1" customHeight="1" x14ac:dyDescent="0.2">
      <c r="B17" s="208" t="s">
        <v>62</v>
      </c>
      <c r="C17" s="238">
        <f>bs!B35</f>
        <v>6.24</v>
      </c>
      <c r="D17" s="36">
        <f>bs!C35</f>
        <v>830.78</v>
      </c>
      <c r="E17" s="36">
        <f>bs!D35</f>
        <v>988.8</v>
      </c>
      <c r="F17" s="36">
        <f>bs!E35</f>
        <v>1005.36</v>
      </c>
      <c r="G17" s="55">
        <f>bs!F35</f>
        <v>157.44</v>
      </c>
      <c r="H17" s="230">
        <f>G17</f>
        <v>157.44</v>
      </c>
      <c r="I17" s="37">
        <f>H17</f>
        <v>157.44</v>
      </c>
      <c r="J17" s="37">
        <f>I17</f>
        <v>157.44</v>
      </c>
      <c r="K17" s="37">
        <f>J17</f>
        <v>157.44</v>
      </c>
      <c r="L17" s="205">
        <f>K17</f>
        <v>157.44</v>
      </c>
    </row>
    <row r="18" spans="2:12" x14ac:dyDescent="0.2">
      <c r="B18" s="209"/>
      <c r="C18" s="238"/>
      <c r="D18" s="36"/>
      <c r="E18" s="36"/>
      <c r="F18" s="36"/>
      <c r="G18" s="55"/>
      <c r="H18" s="230"/>
      <c r="I18" s="37"/>
      <c r="J18" s="37"/>
      <c r="K18" s="37"/>
      <c r="L18" s="205"/>
    </row>
    <row r="19" spans="2:12" x14ac:dyDescent="0.2">
      <c r="B19" s="210"/>
      <c r="C19" s="238"/>
      <c r="D19" s="36"/>
      <c r="E19" s="36"/>
      <c r="F19" s="36"/>
      <c r="G19" s="55"/>
      <c r="H19" s="230"/>
      <c r="I19" s="37"/>
      <c r="J19" s="37"/>
      <c r="K19" s="37"/>
      <c r="L19" s="205"/>
    </row>
    <row r="20" spans="2:12" x14ac:dyDescent="0.2">
      <c r="B20" s="211" t="s">
        <v>139</v>
      </c>
      <c r="C20" s="240">
        <f t="shared" ref="C20:L20" si="2">C16+C17</f>
        <v>194966.83</v>
      </c>
      <c r="D20" s="42">
        <f t="shared" si="2"/>
        <v>208203.08000000005</v>
      </c>
      <c r="E20" s="42">
        <f t="shared" si="2"/>
        <v>222204.32</v>
      </c>
      <c r="F20" s="42">
        <f t="shared" si="2"/>
        <v>218588.6</v>
      </c>
      <c r="G20" s="56">
        <f t="shared" si="2"/>
        <v>245341.71000000002</v>
      </c>
      <c r="H20" s="231">
        <f>H16+H17</f>
        <v>283645.60741391522</v>
      </c>
      <c r="I20" s="43">
        <f t="shared" si="2"/>
        <v>285304.14297492499</v>
      </c>
      <c r="J20" s="43">
        <f t="shared" si="2"/>
        <v>284872.61489507445</v>
      </c>
      <c r="K20" s="43">
        <f t="shared" si="2"/>
        <v>286948.80333732651</v>
      </c>
      <c r="L20" s="212">
        <f t="shared" si="2"/>
        <v>291230.19453774794</v>
      </c>
    </row>
    <row r="21" spans="2:12" x14ac:dyDescent="0.2">
      <c r="B21" s="213"/>
      <c r="C21" s="238"/>
      <c r="D21" s="36"/>
      <c r="E21" s="36"/>
      <c r="F21" s="36"/>
      <c r="G21" s="55"/>
      <c r="H21" s="230"/>
      <c r="I21" s="37"/>
      <c r="J21" s="37"/>
      <c r="K21" s="37"/>
      <c r="L21" s="205"/>
    </row>
    <row r="22" spans="2:12" x14ac:dyDescent="0.2">
      <c r="B22" s="214" t="s">
        <v>140</v>
      </c>
      <c r="C22" s="276"/>
      <c r="D22" s="215"/>
      <c r="E22" s="215"/>
      <c r="F22" s="215"/>
      <c r="G22" s="92"/>
      <c r="H22" s="230"/>
      <c r="I22" s="37"/>
      <c r="J22" s="37"/>
      <c r="K22" s="37"/>
      <c r="L22" s="205"/>
    </row>
    <row r="23" spans="2:12" x14ac:dyDescent="0.2">
      <c r="B23" s="204" t="s">
        <v>37</v>
      </c>
      <c r="C23" s="238">
        <f>bs!B7</f>
        <v>11386.29</v>
      </c>
      <c r="D23" s="36">
        <f>bs!C7</f>
        <v>10577.98</v>
      </c>
      <c r="E23" s="36">
        <f>bs!D7</f>
        <v>11336.28</v>
      </c>
      <c r="F23" s="36">
        <f>bs!E7</f>
        <v>13297.64</v>
      </c>
      <c r="G23" s="55">
        <f>bs!F7</f>
        <v>14128.56</v>
      </c>
      <c r="H23" s="230">
        <f>'bs drivers'!H58</f>
        <v>14043.766034303999</v>
      </c>
      <c r="I23" s="37">
        <f>'bs drivers'!I58</f>
        <v>13974.033118437264</v>
      </c>
      <c r="J23" s="37">
        <f>'bs drivers'!J58</f>
        <v>13932.584738804668</v>
      </c>
      <c r="K23" s="37">
        <f>'bs drivers'!K58</f>
        <v>13904.397726619593</v>
      </c>
      <c r="L23" s="205">
        <f>'bs drivers'!L58</f>
        <v>13900.170789710699</v>
      </c>
    </row>
    <row r="24" spans="2:12" x14ac:dyDescent="0.2">
      <c r="B24" s="204" t="s">
        <v>39</v>
      </c>
      <c r="C24" s="238">
        <f>bs!B9</f>
        <v>3646.78</v>
      </c>
      <c r="D24" s="36">
        <f>bs!C9</f>
        <v>3962.98</v>
      </c>
      <c r="E24" s="36">
        <f>bs!D9</f>
        <v>3360.22</v>
      </c>
      <c r="F24" s="36">
        <f>bs!E9</f>
        <v>1936.44</v>
      </c>
      <c r="G24" s="55">
        <f>bs!F9</f>
        <v>1157.33</v>
      </c>
      <c r="H24" s="230">
        <f>'bs drivers'!H75</f>
        <v>1099.4634999999998</v>
      </c>
      <c r="I24" s="37">
        <f>'bs drivers'!I75</f>
        <v>1044.4903249999998</v>
      </c>
      <c r="J24" s="37">
        <f>'bs drivers'!J75</f>
        <v>992.26580874999979</v>
      </c>
      <c r="K24" s="37">
        <f>'bs drivers'!K75</f>
        <v>942.65251831249975</v>
      </c>
      <c r="L24" s="205">
        <f>'bs drivers'!L75</f>
        <v>895.51989239687475</v>
      </c>
    </row>
    <row r="25" spans="2:12" x14ac:dyDescent="0.2">
      <c r="B25" s="216" t="s">
        <v>141</v>
      </c>
      <c r="C25" s="241">
        <f t="shared" ref="C25:L25" si="3">SUM(C23:C24)</f>
        <v>15033.070000000002</v>
      </c>
      <c r="D25" s="47">
        <f t="shared" si="3"/>
        <v>14540.96</v>
      </c>
      <c r="E25" s="47">
        <f t="shared" si="3"/>
        <v>14696.5</v>
      </c>
      <c r="F25" s="47">
        <f t="shared" si="3"/>
        <v>15234.08</v>
      </c>
      <c r="G25" s="57">
        <f t="shared" si="3"/>
        <v>15285.89</v>
      </c>
      <c r="H25" s="232">
        <f t="shared" si="3"/>
        <v>15143.229534303999</v>
      </c>
      <c r="I25" s="48">
        <f t="shared" si="3"/>
        <v>15018.523443437265</v>
      </c>
      <c r="J25" s="48">
        <f t="shared" si="3"/>
        <v>14924.850547554668</v>
      </c>
      <c r="K25" s="48">
        <f t="shared" si="3"/>
        <v>14847.050244932092</v>
      </c>
      <c r="L25" s="217">
        <f t="shared" si="3"/>
        <v>14795.690682107574</v>
      </c>
    </row>
    <row r="26" spans="2:12" x14ac:dyDescent="0.2">
      <c r="B26" s="204" t="s">
        <v>42</v>
      </c>
      <c r="C26" s="238">
        <f>bs!B12</f>
        <v>19197.759999999998</v>
      </c>
      <c r="D26" s="36">
        <f>bs!C12</f>
        <v>18729.37</v>
      </c>
      <c r="E26" s="36">
        <f>bs!D12</f>
        <v>18007.98</v>
      </c>
      <c r="F26" s="36">
        <f>bs!E12</f>
        <v>17384.52</v>
      </c>
      <c r="G26" s="55">
        <f>bs!F12</f>
        <v>17050.759999999998</v>
      </c>
      <c r="H26" s="230">
        <f>'bs drivers'!H91</f>
        <v>17050.759999999998</v>
      </c>
      <c r="I26" s="37">
        <f>'bs drivers'!I91</f>
        <v>17050.759999999998</v>
      </c>
      <c r="J26" s="37">
        <f>'bs drivers'!J91</f>
        <v>17050.759999999998</v>
      </c>
      <c r="K26" s="37">
        <f>'bs drivers'!K91</f>
        <v>17050.759999999998</v>
      </c>
      <c r="L26" s="205">
        <f>'bs drivers'!L91</f>
        <v>17050.759999999998</v>
      </c>
    </row>
    <row r="27" spans="2:12" x14ac:dyDescent="0.2">
      <c r="B27" s="204" t="s">
        <v>44</v>
      </c>
      <c r="C27" s="238">
        <f>bs!B14</f>
        <v>2021.53</v>
      </c>
      <c r="D27" s="36">
        <f>bs!C14</f>
        <v>1989.51</v>
      </c>
      <c r="E27" s="36">
        <f>bs!D14</f>
        <v>2137.87</v>
      </c>
      <c r="F27" s="36">
        <f>bs!E14</f>
        <v>2289.41</v>
      </c>
      <c r="G27" s="55">
        <f>bs!F14</f>
        <v>2869.02</v>
      </c>
      <c r="H27" s="230">
        <f>'bs drivers'!H99</f>
        <v>2858.0270342777999</v>
      </c>
      <c r="I27" s="37">
        <f>'bs drivers'!I99</f>
        <v>2847.3224655025342</v>
      </c>
      <c r="J27" s="37">
        <f>'bs drivers'!J99</f>
        <v>2836.7969393836588</v>
      </c>
      <c r="K27" s="37">
        <f>'bs drivers'!K99</f>
        <v>2826.4820904003354</v>
      </c>
      <c r="L27" s="205">
        <f>'bs drivers'!L99</f>
        <v>2816.3406443951581</v>
      </c>
    </row>
    <row r="28" spans="2:12" x14ac:dyDescent="0.2">
      <c r="B28" s="216" t="s">
        <v>142</v>
      </c>
      <c r="C28" s="241">
        <f>SUM(C26:C27)</f>
        <v>21219.289999999997</v>
      </c>
      <c r="D28" s="47">
        <f t="shared" ref="D28:L28" si="4">SUM(D26:D27)</f>
        <v>20718.879999999997</v>
      </c>
      <c r="E28" s="47">
        <f t="shared" si="4"/>
        <v>20145.849999999999</v>
      </c>
      <c r="F28" s="47">
        <f>SUM(F26:F27)</f>
        <v>19673.93</v>
      </c>
      <c r="G28" s="57">
        <f t="shared" si="4"/>
        <v>19919.78</v>
      </c>
      <c r="H28" s="232">
        <f t="shared" si="4"/>
        <v>19908.787034277797</v>
      </c>
      <c r="I28" s="48">
        <f t="shared" si="4"/>
        <v>19898.082465502532</v>
      </c>
      <c r="J28" s="48">
        <f t="shared" si="4"/>
        <v>19887.556939383656</v>
      </c>
      <c r="K28" s="48">
        <f t="shared" si="4"/>
        <v>19877.242090400334</v>
      </c>
      <c r="L28" s="217">
        <f t="shared" si="4"/>
        <v>19867.100644395156</v>
      </c>
    </row>
    <row r="29" spans="2:12" x14ac:dyDescent="0.2">
      <c r="B29" s="204" t="s">
        <v>38</v>
      </c>
      <c r="C29" s="238">
        <f>bs!B8</f>
        <v>388.37</v>
      </c>
      <c r="D29" s="36">
        <f>bs!C8</f>
        <v>1170.32</v>
      </c>
      <c r="E29" s="36">
        <f>bs!D8</f>
        <v>2949.09</v>
      </c>
      <c r="F29" s="36">
        <f>bs!E8</f>
        <v>2897.04</v>
      </c>
      <c r="G29" s="55">
        <f>bs!F8</f>
        <v>2390.86</v>
      </c>
      <c r="H29" s="230">
        <f>'bs drivers'!H67</f>
        <v>2990.0095160000001</v>
      </c>
      <c r="I29" s="37">
        <f>'bs drivers'!I67</f>
        <v>3739.6049016612001</v>
      </c>
      <c r="J29" s="37">
        <f>'bs drivers'!J67</f>
        <v>4677.4978109978292</v>
      </c>
      <c r="K29" s="37">
        <f>'bs drivers'!K67</f>
        <v>5851.0820117771846</v>
      </c>
      <c r="L29" s="205">
        <f>'bs drivers'!L67</f>
        <v>7320.2887049344354</v>
      </c>
    </row>
    <row r="30" spans="2:12" x14ac:dyDescent="0.2">
      <c r="B30" s="204" t="s">
        <v>40</v>
      </c>
      <c r="C30" s="238">
        <f>bs!B10</f>
        <v>0</v>
      </c>
      <c r="D30" s="36">
        <f>bs!C10</f>
        <v>0</v>
      </c>
      <c r="E30" s="36">
        <f>bs!D10</f>
        <v>0</v>
      </c>
      <c r="F30" s="36">
        <f>bs!E10</f>
        <v>254.93</v>
      </c>
      <c r="G30" s="55">
        <f>bs!F10</f>
        <v>501.3</v>
      </c>
      <c r="H30" s="230">
        <f>'bs drivers'!H125</f>
        <v>501.3</v>
      </c>
      <c r="I30" s="37">
        <f>'bs drivers'!I125</f>
        <v>501.3</v>
      </c>
      <c r="J30" s="37">
        <f>'bs drivers'!J125</f>
        <v>501.3</v>
      </c>
      <c r="K30" s="37">
        <f>'bs drivers'!K125</f>
        <v>501.3</v>
      </c>
      <c r="L30" s="205">
        <f>'bs drivers'!L125</f>
        <v>501.3</v>
      </c>
    </row>
    <row r="31" spans="2:12" x14ac:dyDescent="0.2">
      <c r="B31" s="204" t="s">
        <v>41</v>
      </c>
      <c r="C31" s="238">
        <f>bs!B11</f>
        <v>8066.96</v>
      </c>
      <c r="D31" s="36">
        <f>bs!C11</f>
        <v>7685.17</v>
      </c>
      <c r="E31" s="36">
        <f>bs!D11</f>
        <v>7798.65</v>
      </c>
      <c r="F31" s="36">
        <f>bs!E11</f>
        <v>7800.88</v>
      </c>
      <c r="G31" s="55">
        <f>bs!F11</f>
        <v>8348.48</v>
      </c>
      <c r="H31" s="230">
        <f>'bs drivers'!H83</f>
        <v>8348.48</v>
      </c>
      <c r="I31" s="37">
        <f>'bs drivers'!I83</f>
        <v>8348.48</v>
      </c>
      <c r="J31" s="37">
        <f>'bs drivers'!J83</f>
        <v>8348.48</v>
      </c>
      <c r="K31" s="37">
        <f>'bs drivers'!K83</f>
        <v>8348.48</v>
      </c>
      <c r="L31" s="205">
        <f>'bs drivers'!L83</f>
        <v>8348.48</v>
      </c>
    </row>
    <row r="32" spans="2:12" x14ac:dyDescent="0.2">
      <c r="B32" s="204" t="s">
        <v>43</v>
      </c>
      <c r="C32" s="238">
        <f>bs!B13</f>
        <v>112.02</v>
      </c>
      <c r="D32" s="36">
        <f>bs!C13</f>
        <v>79.23</v>
      </c>
      <c r="E32" s="36">
        <f>bs!D13</f>
        <v>116.48</v>
      </c>
      <c r="F32" s="36">
        <f>bs!E13</f>
        <v>147.97</v>
      </c>
      <c r="G32" s="55">
        <f>bs!F13</f>
        <v>197.82</v>
      </c>
      <c r="H32" s="230">
        <f>'bs drivers'!H139</f>
        <v>227.117142</v>
      </c>
      <c r="I32" s="37">
        <f>'bs drivers'!I139</f>
        <v>263.97825414660002</v>
      </c>
      <c r="J32" s="37">
        <f>'bs drivers'!J139</f>
        <v>307.11230087415447</v>
      </c>
      <c r="K32" s="37">
        <f>'bs drivers'!K139</f>
        <v>357.20231714672906</v>
      </c>
      <c r="L32" s="205">
        <f>'bs drivers'!L139</f>
        <v>414.81905090249643</v>
      </c>
    </row>
    <row r="33" spans="2:12" x14ac:dyDescent="0.2">
      <c r="B33" s="204" t="s">
        <v>45</v>
      </c>
      <c r="C33" s="238">
        <f>bs!B15</f>
        <v>2670.26</v>
      </c>
      <c r="D33" s="36">
        <f>bs!C15</f>
        <v>2521.16</v>
      </c>
      <c r="E33" s="36">
        <f>bs!D15</f>
        <v>1304.8599999999999</v>
      </c>
      <c r="F33" s="36">
        <f>bs!E15</f>
        <v>1264.25</v>
      </c>
      <c r="G33" s="55">
        <f>bs!F15</f>
        <v>2318.42</v>
      </c>
      <c r="H33" s="230">
        <f>'bs drivers'!H107</f>
        <v>2318.42</v>
      </c>
      <c r="I33" s="37">
        <f>'bs drivers'!I107</f>
        <v>2318.42</v>
      </c>
      <c r="J33" s="37">
        <f>'bs drivers'!J107</f>
        <v>2318.42</v>
      </c>
      <c r="K33" s="37">
        <f>'bs drivers'!K107</f>
        <v>2318.42</v>
      </c>
      <c r="L33" s="205">
        <f>'bs drivers'!L107</f>
        <v>2318.42</v>
      </c>
    </row>
    <row r="34" spans="2:12" x14ac:dyDescent="0.2">
      <c r="B34" s="204" t="s">
        <v>46</v>
      </c>
      <c r="C34" s="238">
        <f>bs!B16</f>
        <v>5945.14</v>
      </c>
      <c r="D34" s="36">
        <f>bs!C16</f>
        <v>7074.44</v>
      </c>
      <c r="E34" s="36">
        <f>bs!D16</f>
        <v>7920.03</v>
      </c>
      <c r="F34" s="36">
        <f>bs!E16</f>
        <v>9425.94</v>
      </c>
      <c r="G34" s="55">
        <f>bs!F16</f>
        <v>9126.23</v>
      </c>
      <c r="H34" s="230">
        <f>'bs drivers'!H115</f>
        <v>10158.406612999999</v>
      </c>
      <c r="I34" s="37">
        <f>'bs drivers'!I115</f>
        <v>11307.322400930299</v>
      </c>
      <c r="J34" s="37">
        <f>'bs drivers'!J115</f>
        <v>12586.180564475517</v>
      </c>
      <c r="K34" s="37">
        <f>'bs drivers'!K115</f>
        <v>14009.677586317697</v>
      </c>
      <c r="L34" s="205">
        <f>'bs drivers'!L115</f>
        <v>15594.17212133023</v>
      </c>
    </row>
    <row r="35" spans="2:12" x14ac:dyDescent="0.2">
      <c r="B35" s="204" t="s">
        <v>47</v>
      </c>
      <c r="C35" s="238">
        <f>bs!B17</f>
        <v>52631.67</v>
      </c>
      <c r="D35" s="36">
        <f>bs!C17</f>
        <v>46736.84</v>
      </c>
      <c r="E35" s="36">
        <f>bs!D17</f>
        <v>40920.92</v>
      </c>
      <c r="F35" s="36">
        <f>bs!E17</f>
        <v>52154.76</v>
      </c>
      <c r="G35" s="55">
        <f>bs!F17</f>
        <v>62847.35</v>
      </c>
      <c r="H35" s="230">
        <f>'bs drivers'!H123</f>
        <v>65694.334954999998</v>
      </c>
      <c r="I35" s="37">
        <f>'bs drivers'!I123</f>
        <v>68670.288328461495</v>
      </c>
      <c r="J35" s="37">
        <f>'bs drivers'!J123</f>
        <v>71781.052389740798</v>
      </c>
      <c r="K35" s="37">
        <f>'bs drivers'!K123</f>
        <v>75032.734062996053</v>
      </c>
      <c r="L35" s="205">
        <f>'bs drivers'!L123</f>
        <v>78431.716916049772</v>
      </c>
    </row>
    <row r="36" spans="2:12" x14ac:dyDescent="0.2">
      <c r="B36" s="204" t="s">
        <v>48</v>
      </c>
      <c r="C36" s="238">
        <f>bs!B18</f>
        <v>173.24</v>
      </c>
      <c r="D36" s="36">
        <f>bs!C18</f>
        <v>284.54000000000002</v>
      </c>
      <c r="E36" s="36">
        <f>bs!D18</f>
        <v>356</v>
      </c>
      <c r="F36" s="36">
        <f>bs!E18</f>
        <v>475.46</v>
      </c>
      <c r="G36" s="55">
        <f>bs!F18</f>
        <v>348.96</v>
      </c>
      <c r="H36" s="230">
        <f>'bs drivers'!H147</f>
        <v>415.716048</v>
      </c>
      <c r="I36" s="37">
        <f>'bs drivers'!I147</f>
        <v>495.24252798240002</v>
      </c>
      <c r="J36" s="37">
        <f>'bs drivers'!J147</f>
        <v>589.98242358543314</v>
      </c>
      <c r="K36" s="37">
        <f>'bs drivers'!K147</f>
        <v>702.84606121732645</v>
      </c>
      <c r="L36" s="205">
        <f>'bs drivers'!L147</f>
        <v>837.30051272820106</v>
      </c>
    </row>
    <row r="37" spans="2:12" x14ac:dyDescent="0.2">
      <c r="B37" s="204" t="s">
        <v>49</v>
      </c>
      <c r="C37" s="238">
        <f>bs!B19</f>
        <v>1420.19</v>
      </c>
      <c r="D37" s="36">
        <f>bs!C19</f>
        <v>2134.9</v>
      </c>
      <c r="E37" s="36">
        <f>bs!D19</f>
        <v>1965.78</v>
      </c>
      <c r="F37" s="36">
        <f>bs!E19</f>
        <v>1952.08</v>
      </c>
      <c r="G37" s="55">
        <f>bs!F19</f>
        <v>1863.04</v>
      </c>
      <c r="H37" s="230">
        <f>'bs drivers'!H155</f>
        <v>1993.8254079999999</v>
      </c>
      <c r="I37" s="37">
        <f>'bs drivers'!I155</f>
        <v>2133.7919516416</v>
      </c>
      <c r="J37" s="37">
        <f>'bs drivers'!J155</f>
        <v>2283.5841466468405</v>
      </c>
      <c r="K37" s="37">
        <f>'bs drivers'!K155</f>
        <v>2443.8917537414486</v>
      </c>
      <c r="L37" s="205">
        <f>'bs drivers'!L155</f>
        <v>2615.4529548540982</v>
      </c>
    </row>
    <row r="38" spans="2:12" x14ac:dyDescent="0.2">
      <c r="B38" s="204" t="s">
        <v>50</v>
      </c>
      <c r="C38" s="238">
        <f>bs!B20</f>
        <v>2697</v>
      </c>
      <c r="D38" s="36">
        <f>bs!C20</f>
        <v>2840.1</v>
      </c>
      <c r="E38" s="36">
        <f>bs!D20</f>
        <v>3984.79</v>
      </c>
      <c r="F38" s="36">
        <f>bs!E20</f>
        <v>3863.72</v>
      </c>
      <c r="G38" s="55">
        <f>bs!F20</f>
        <v>3792.88</v>
      </c>
      <c r="H38" s="230">
        <f t="shared" ref="H38:L39" si="5">G38</f>
        <v>3792.88</v>
      </c>
      <c r="I38" s="37">
        <f t="shared" si="5"/>
        <v>3792.88</v>
      </c>
      <c r="J38" s="37">
        <f t="shared" si="5"/>
        <v>3792.88</v>
      </c>
      <c r="K38" s="37">
        <f t="shared" si="5"/>
        <v>3792.88</v>
      </c>
      <c r="L38" s="205">
        <f t="shared" si="5"/>
        <v>3792.88</v>
      </c>
    </row>
    <row r="39" spans="2:12" x14ac:dyDescent="0.2">
      <c r="B39" s="204" t="s">
        <v>51</v>
      </c>
      <c r="C39" s="238">
        <f>bs!B21</f>
        <v>0</v>
      </c>
      <c r="D39" s="36">
        <f>bs!C21</f>
        <v>0</v>
      </c>
      <c r="E39" s="36">
        <f>bs!D21</f>
        <v>3611.66</v>
      </c>
      <c r="F39" s="36">
        <f>bs!E21</f>
        <v>4245.78</v>
      </c>
      <c r="G39" s="55">
        <f>bs!F21</f>
        <v>4581.6000000000004</v>
      </c>
      <c r="H39" s="230">
        <f t="shared" si="5"/>
        <v>4581.6000000000004</v>
      </c>
      <c r="I39" s="37">
        <f t="shared" si="5"/>
        <v>4581.6000000000004</v>
      </c>
      <c r="J39" s="37">
        <f t="shared" si="5"/>
        <v>4581.6000000000004</v>
      </c>
      <c r="K39" s="37">
        <f t="shared" si="5"/>
        <v>4581.6000000000004</v>
      </c>
      <c r="L39" s="205">
        <f t="shared" si="5"/>
        <v>4581.6000000000004</v>
      </c>
    </row>
    <row r="40" spans="2:12" x14ac:dyDescent="0.2">
      <c r="B40" s="204" t="s">
        <v>52</v>
      </c>
      <c r="C40" s="238">
        <f>bs!B22</f>
        <v>5949.67</v>
      </c>
      <c r="D40" s="36">
        <f>bs!C22</f>
        <v>6077.62</v>
      </c>
      <c r="E40" s="36">
        <f>bs!D22</f>
        <v>2377.38</v>
      </c>
      <c r="F40" s="36">
        <f>bs!E22</f>
        <v>2156.5500000000002</v>
      </c>
      <c r="G40" s="55">
        <f>bs!F22</f>
        <v>2659.78</v>
      </c>
      <c r="H40" s="230">
        <f>'bs drivers'!H176</f>
        <v>2659.78</v>
      </c>
      <c r="I40" s="37">
        <f>'bs drivers'!I176</f>
        <v>2659.78</v>
      </c>
      <c r="J40" s="37">
        <f>'bs drivers'!J176</f>
        <v>2659.78</v>
      </c>
      <c r="K40" s="37">
        <f>'bs drivers'!K176</f>
        <v>2659.78</v>
      </c>
      <c r="L40" s="205">
        <f>'bs drivers'!L176</f>
        <v>2659.78</v>
      </c>
    </row>
    <row r="41" spans="2:12" x14ac:dyDescent="0.2">
      <c r="B41" s="218" t="s">
        <v>143</v>
      </c>
      <c r="C41" s="241">
        <f>SUM(C29:C40)</f>
        <v>80054.52</v>
      </c>
      <c r="D41" s="47">
        <f t="shared" ref="D41:L41" si="6">SUM(D29:D40)</f>
        <v>76604.319999999992</v>
      </c>
      <c r="E41" s="47">
        <f t="shared" si="6"/>
        <v>73305.64</v>
      </c>
      <c r="F41" s="47">
        <f t="shared" si="6"/>
        <v>86639.360000000015</v>
      </c>
      <c r="G41" s="57">
        <f t="shared" si="6"/>
        <v>98976.72</v>
      </c>
      <c r="H41" s="232">
        <f t="shared" si="6"/>
        <v>103681.86968200002</v>
      </c>
      <c r="I41" s="48">
        <f t="shared" si="6"/>
        <v>108812.6883648236</v>
      </c>
      <c r="J41" s="48">
        <f t="shared" si="6"/>
        <v>114427.86963632058</v>
      </c>
      <c r="K41" s="48">
        <f t="shared" si="6"/>
        <v>120599.89379319645</v>
      </c>
      <c r="L41" s="217">
        <f t="shared" si="6"/>
        <v>127416.21026079924</v>
      </c>
    </row>
    <row r="42" spans="2:12" x14ac:dyDescent="0.2">
      <c r="B42" s="210"/>
      <c r="C42" s="238"/>
      <c r="D42" s="36"/>
      <c r="E42" s="36"/>
      <c r="F42" s="36"/>
      <c r="G42" s="55"/>
      <c r="H42" s="230"/>
      <c r="I42" s="37"/>
      <c r="J42" s="37"/>
      <c r="K42" s="37"/>
      <c r="L42" s="205"/>
    </row>
    <row r="43" spans="2:12" x14ac:dyDescent="0.2">
      <c r="B43" s="211" t="s">
        <v>144</v>
      </c>
      <c r="C43" s="240">
        <f t="shared" ref="C43:L43" si="7">C25+C28+C41</f>
        <v>116306.88</v>
      </c>
      <c r="D43" s="42">
        <f t="shared" si="7"/>
        <v>111864.15999999999</v>
      </c>
      <c r="E43" s="42">
        <f t="shared" si="7"/>
        <v>108147.98999999999</v>
      </c>
      <c r="F43" s="42">
        <f t="shared" si="7"/>
        <v>121547.37000000002</v>
      </c>
      <c r="G43" s="56">
        <f t="shared" si="7"/>
        <v>134182.39000000001</v>
      </c>
      <c r="H43" s="231">
        <f t="shared" si="7"/>
        <v>138733.88625058183</v>
      </c>
      <c r="I43" s="43">
        <f t="shared" si="7"/>
        <v>143729.2942737634</v>
      </c>
      <c r="J43" s="43">
        <f t="shared" si="7"/>
        <v>149240.27712325891</v>
      </c>
      <c r="K43" s="43">
        <f t="shared" si="7"/>
        <v>155324.18612852888</v>
      </c>
      <c r="L43" s="212">
        <f t="shared" si="7"/>
        <v>162079.00158730196</v>
      </c>
    </row>
    <row r="44" spans="2:12" x14ac:dyDescent="0.2">
      <c r="B44" s="211" t="s">
        <v>145</v>
      </c>
      <c r="C44" s="240">
        <f t="shared" ref="C44:L44" si="8">C20+C43</f>
        <v>311273.70999999996</v>
      </c>
      <c r="D44" s="42">
        <f t="shared" si="8"/>
        <v>320067.24000000005</v>
      </c>
      <c r="E44" s="42">
        <f t="shared" si="8"/>
        <v>330352.31</v>
      </c>
      <c r="F44" s="42">
        <f t="shared" si="8"/>
        <v>340135.97000000003</v>
      </c>
      <c r="G44" s="56">
        <f t="shared" si="8"/>
        <v>379524.10000000003</v>
      </c>
      <c r="H44" s="231">
        <f t="shared" si="8"/>
        <v>422379.49366449704</v>
      </c>
      <c r="I44" s="43">
        <f t="shared" si="8"/>
        <v>429033.43724868842</v>
      </c>
      <c r="J44" s="43">
        <f t="shared" si="8"/>
        <v>434112.89201833337</v>
      </c>
      <c r="K44" s="43">
        <f t="shared" si="8"/>
        <v>442272.98946585541</v>
      </c>
      <c r="L44" s="212">
        <f t="shared" si="8"/>
        <v>453309.1961250499</v>
      </c>
    </row>
    <row r="45" spans="2:12" x14ac:dyDescent="0.2">
      <c r="B45" s="219"/>
      <c r="C45" s="238"/>
      <c r="D45" s="36"/>
      <c r="E45" s="36"/>
      <c r="F45" s="36"/>
      <c r="G45" s="55"/>
      <c r="H45" s="230"/>
      <c r="I45" s="37"/>
      <c r="J45" s="37"/>
      <c r="K45" s="37"/>
      <c r="L45" s="205"/>
    </row>
    <row r="46" spans="2:12" x14ac:dyDescent="0.2">
      <c r="B46" s="214" t="s">
        <v>146</v>
      </c>
      <c r="C46" s="238"/>
      <c r="D46" s="36"/>
      <c r="E46" s="36"/>
      <c r="F46" s="36"/>
      <c r="G46" s="55"/>
      <c r="H46" s="230"/>
      <c r="I46" s="37"/>
      <c r="J46" s="37"/>
      <c r="K46" s="37"/>
      <c r="L46" s="205"/>
    </row>
    <row r="47" spans="2:12" x14ac:dyDescent="0.2">
      <c r="B47" s="204" t="s">
        <v>73</v>
      </c>
      <c r="C47" s="238">
        <f>bs!B54</f>
        <v>27765.83</v>
      </c>
      <c r="D47" s="36">
        <f>bs!C54</f>
        <v>30476.959999999999</v>
      </c>
      <c r="E47" s="36">
        <f>bs!D54</f>
        <v>30896.32</v>
      </c>
      <c r="F47" s="36">
        <f>bs!E54</f>
        <v>27834.27</v>
      </c>
      <c r="G47" s="55">
        <f>bs!F54</f>
        <v>35861.300000000003</v>
      </c>
      <c r="H47" s="230">
        <f>'bs drivers'!H189</f>
        <v>41072.510221820987</v>
      </c>
      <c r="I47" s="37">
        <f>'bs drivers'!I189</f>
        <v>47144.217814931581</v>
      </c>
      <c r="J47" s="37">
        <f>'bs drivers'!J189</f>
        <v>54221.036622919222</v>
      </c>
      <c r="K47" s="37">
        <f>'bs drivers'!K189</f>
        <v>62472.174497399814</v>
      </c>
      <c r="L47" s="205">
        <f>'bs drivers'!L189</f>
        <v>72095.64874640631</v>
      </c>
    </row>
    <row r="48" spans="2:12" x14ac:dyDescent="0.2">
      <c r="B48" s="204" t="s">
        <v>81</v>
      </c>
      <c r="C48" s="238">
        <f>bs!B55</f>
        <v>22719.39</v>
      </c>
      <c r="D48" s="36">
        <f>bs!C55</f>
        <v>31372.959999999999</v>
      </c>
      <c r="E48" s="36">
        <f>bs!D55</f>
        <v>26399.38</v>
      </c>
      <c r="F48" s="36">
        <f>bs!E55</f>
        <v>29698.53</v>
      </c>
      <c r="G48" s="55">
        <f>bs!F55</f>
        <v>36194.699999999997</v>
      </c>
      <c r="H48" s="230">
        <f>'bs drivers'!H193</f>
        <v>27517.138909246867</v>
      </c>
      <c r="I48" s="37">
        <f>'bs drivers'!I193</f>
        <v>22358.365804377423</v>
      </c>
      <c r="J48" s="37">
        <f>'bs drivers'!J193</f>
        <v>14933.486837388269</v>
      </c>
      <c r="K48" s="37">
        <f>'bs drivers'!K193</f>
        <v>7709.4447574638625</v>
      </c>
      <c r="L48" s="205">
        <f>'bs drivers'!L193</f>
        <v>0</v>
      </c>
    </row>
    <row r="49" spans="2:12" x14ac:dyDescent="0.2">
      <c r="B49" s="204" t="s">
        <v>74</v>
      </c>
      <c r="C49" s="238">
        <f>bs!B56</f>
        <v>406.1</v>
      </c>
      <c r="D49" s="36">
        <f>bs!C56</f>
        <v>406.54</v>
      </c>
      <c r="E49" s="36">
        <f>bs!D56</f>
        <v>490.75</v>
      </c>
      <c r="F49" s="36">
        <f>bs!E56</f>
        <v>547.66999999999996</v>
      </c>
      <c r="G49" s="55">
        <f>bs!F56</f>
        <v>584.34</v>
      </c>
      <c r="H49" s="230">
        <f>'bs drivers'!H197</f>
        <v>695.65363306638437</v>
      </c>
      <c r="I49" s="37">
        <f>'bs drivers'!I197</f>
        <v>798.4914051736298</v>
      </c>
      <c r="J49" s="37">
        <f>'bs drivers'!J197</f>
        <v>918.35295460757766</v>
      </c>
      <c r="K49" s="37">
        <f>'bs drivers'!K197</f>
        <v>1058.1041898818355</v>
      </c>
      <c r="L49" s="205">
        <f>'bs drivers'!L197</f>
        <v>1221.0989712547416</v>
      </c>
    </row>
    <row r="50" spans="2:12" x14ac:dyDescent="0.2">
      <c r="B50" s="220" t="s">
        <v>82</v>
      </c>
      <c r="C50" s="238"/>
      <c r="D50" s="36"/>
      <c r="E50" s="36"/>
      <c r="F50" s="36"/>
      <c r="G50" s="55"/>
      <c r="H50" s="230"/>
      <c r="I50" s="37"/>
      <c r="J50" s="37"/>
      <c r="K50" s="37"/>
      <c r="L50" s="205"/>
    </row>
    <row r="51" spans="2:12" x14ac:dyDescent="0.2">
      <c r="B51" s="204" t="s">
        <v>83</v>
      </c>
      <c r="C51" s="238">
        <f>bs!B58</f>
        <v>488.99</v>
      </c>
      <c r="D51" s="36">
        <f>bs!C58</f>
        <v>575.91</v>
      </c>
      <c r="E51" s="36">
        <f>bs!D58</f>
        <v>851.7</v>
      </c>
      <c r="F51" s="36">
        <f>bs!E58</f>
        <v>1018.71</v>
      </c>
      <c r="G51" s="55">
        <f>bs!F58</f>
        <v>1417.65</v>
      </c>
      <c r="H51" s="230">
        <f>'bs drivers'!H201</f>
        <v>1326.5730554550271</v>
      </c>
      <c r="I51" s="37">
        <f>'bs drivers'!I201</f>
        <v>1543.6018935626419</v>
      </c>
      <c r="J51" s="37">
        <f>'bs drivers'!J201</f>
        <v>1787.2398396441699</v>
      </c>
      <c r="K51" s="37">
        <f>'bs drivers'!K201</f>
        <v>1969.7062537531654</v>
      </c>
      <c r="L51" s="205">
        <f>'bs drivers'!L201</f>
        <v>2157.9173492447567</v>
      </c>
    </row>
    <row r="52" spans="2:12" x14ac:dyDescent="0.2">
      <c r="B52" s="204" t="s">
        <v>84</v>
      </c>
      <c r="C52" s="238">
        <f>bs!B59</f>
        <v>45256.24</v>
      </c>
      <c r="D52" s="36">
        <f>bs!C59</f>
        <v>50789.71</v>
      </c>
      <c r="E52" s="36">
        <f>bs!D59</f>
        <v>48932.42</v>
      </c>
      <c r="F52" s="36">
        <f>bs!E59</f>
        <v>52274.17</v>
      </c>
      <c r="G52" s="55">
        <f>bs!F59</f>
        <v>51041.69</v>
      </c>
      <c r="H52" s="230">
        <f>'bs drivers'!H205</f>
        <v>82746.494153695952</v>
      </c>
      <c r="I52" s="37">
        <f>'bs drivers'!I205</f>
        <v>88470.06054840234</v>
      </c>
      <c r="J52" s="37">
        <f>'bs drivers'!J205</f>
        <v>93546.6607971591</v>
      </c>
      <c r="K52" s="37">
        <f>'bs drivers'!K205</f>
        <v>101059.6578517134</v>
      </c>
      <c r="L52" s="205">
        <f>'bs drivers'!L205</f>
        <v>110713.29636246334</v>
      </c>
    </row>
    <row r="53" spans="2:12" x14ac:dyDescent="0.2">
      <c r="B53" s="220" t="s">
        <v>147</v>
      </c>
      <c r="C53" s="241">
        <f t="shared" ref="C53:H53" si="9">SUM(C51:C52)</f>
        <v>45745.229999999996</v>
      </c>
      <c r="D53" s="47">
        <f t="shared" si="9"/>
        <v>51365.62</v>
      </c>
      <c r="E53" s="47">
        <f t="shared" si="9"/>
        <v>49784.119999999995</v>
      </c>
      <c r="F53" s="47">
        <f t="shared" si="9"/>
        <v>53292.88</v>
      </c>
      <c r="G53" s="57">
        <f t="shared" si="9"/>
        <v>52459.340000000004</v>
      </c>
      <c r="H53" s="232">
        <f t="shared" si="9"/>
        <v>84073.067209150977</v>
      </c>
      <c r="I53" s="48">
        <f>SUM(I51:I52)</f>
        <v>90013.662441964989</v>
      </c>
      <c r="J53" s="48">
        <f>SUM(J51:J52)</f>
        <v>95333.900636803271</v>
      </c>
      <c r="K53" s="48">
        <f>SUM(K51:K52)</f>
        <v>103029.36410546656</v>
      </c>
      <c r="L53" s="217">
        <f>SUM(L51:L52)</f>
        <v>112871.2137117081</v>
      </c>
    </row>
    <row r="54" spans="2:12" x14ac:dyDescent="0.2">
      <c r="B54" s="204" t="s">
        <v>75</v>
      </c>
      <c r="C54" s="238">
        <f>bs!B60</f>
        <v>5328.93</v>
      </c>
      <c r="D54" s="36">
        <f>bs!C60</f>
        <v>6664.35</v>
      </c>
      <c r="E54" s="36">
        <f>bs!D60</f>
        <v>7441.94</v>
      </c>
      <c r="F54" s="36">
        <f>bs!E60</f>
        <v>7575.67</v>
      </c>
      <c r="G54" s="55">
        <f>bs!F60</f>
        <v>6273.37</v>
      </c>
      <c r="H54" s="230">
        <f>'bs drivers'!H210</f>
        <v>6273.37</v>
      </c>
      <c r="I54" s="37">
        <f>'bs drivers'!I210</f>
        <v>6273.37</v>
      </c>
      <c r="J54" s="37">
        <f>'bs drivers'!J210</f>
        <v>6273.37</v>
      </c>
      <c r="K54" s="37">
        <f>'bs drivers'!K210</f>
        <v>6273.37</v>
      </c>
      <c r="L54" s="205">
        <f>'bs drivers'!L210</f>
        <v>6273.37</v>
      </c>
    </row>
    <row r="55" spans="2:12" x14ac:dyDescent="0.2">
      <c r="B55" s="204" t="s">
        <v>85</v>
      </c>
      <c r="C55" s="238">
        <f>bs!B61</f>
        <v>31269.63</v>
      </c>
      <c r="D55" s="36">
        <f>bs!C61</f>
        <v>34408.74</v>
      </c>
      <c r="E55" s="36">
        <f>bs!D61</f>
        <v>42166.55</v>
      </c>
      <c r="F55" s="36">
        <f>bs!E61</f>
        <v>52184.08</v>
      </c>
      <c r="G55" s="55">
        <f>bs!F61</f>
        <v>63326.97</v>
      </c>
      <c r="H55" s="230">
        <f>'bs drivers'!H212</f>
        <v>63326.97</v>
      </c>
      <c r="I55" s="37">
        <f>'bs drivers'!I212</f>
        <v>63326.97</v>
      </c>
      <c r="J55" s="37">
        <f>'bs drivers'!J212</f>
        <v>63326.97</v>
      </c>
      <c r="K55" s="37">
        <f>'bs drivers'!K212</f>
        <v>63326.97</v>
      </c>
      <c r="L55" s="205">
        <f>'bs drivers'!L212</f>
        <v>63326.97</v>
      </c>
    </row>
    <row r="56" spans="2:12" x14ac:dyDescent="0.2">
      <c r="B56" s="204" t="s">
        <v>76</v>
      </c>
      <c r="C56" s="238">
        <f>bs!B62</f>
        <v>2998.68</v>
      </c>
      <c r="D56" s="36">
        <f>bs!C62</f>
        <v>3355.86</v>
      </c>
      <c r="E56" s="36">
        <f>bs!D62</f>
        <v>3493.47</v>
      </c>
      <c r="F56" s="36">
        <f>bs!E62</f>
        <v>4115.8900000000003</v>
      </c>
      <c r="G56" s="55">
        <f>bs!F62</f>
        <v>4691.67</v>
      </c>
      <c r="H56" s="230">
        <f>'bs drivers'!H214</f>
        <v>4691.67</v>
      </c>
      <c r="I56" s="37">
        <f>'bs drivers'!I214</f>
        <v>4691.67</v>
      </c>
      <c r="J56" s="37">
        <f>'bs drivers'!J214</f>
        <v>4691.67</v>
      </c>
      <c r="K56" s="37">
        <f>'bs drivers'!K214</f>
        <v>4691.67</v>
      </c>
      <c r="L56" s="205">
        <f>'bs drivers'!L214</f>
        <v>4691.67</v>
      </c>
    </row>
    <row r="57" spans="2:12" x14ac:dyDescent="0.2">
      <c r="B57" s="204" t="s">
        <v>86</v>
      </c>
      <c r="C57" s="238">
        <f>bs!B63</f>
        <v>1171.02</v>
      </c>
      <c r="D57" s="36">
        <f>bs!C63</f>
        <v>1309.82</v>
      </c>
      <c r="E57" s="36">
        <f>bs!D63</f>
        <v>1393.46</v>
      </c>
      <c r="F57" s="36">
        <f>bs!E63</f>
        <v>1860.47</v>
      </c>
      <c r="G57" s="55">
        <f>bs!F63</f>
        <v>2579.21</v>
      </c>
      <c r="H57" s="230">
        <f>'bs drivers'!H216</f>
        <v>2579.21</v>
      </c>
      <c r="I57" s="37">
        <f>'bs drivers'!I216</f>
        <v>2579.21</v>
      </c>
      <c r="J57" s="37">
        <f>'bs drivers'!J216</f>
        <v>2579.21</v>
      </c>
      <c r="K57" s="37">
        <f>'bs drivers'!K216</f>
        <v>2579.21</v>
      </c>
      <c r="L57" s="205">
        <f>'bs drivers'!L216</f>
        <v>2579.21</v>
      </c>
    </row>
    <row r="58" spans="2:12" x14ac:dyDescent="0.2">
      <c r="B58" s="206" t="s">
        <v>87</v>
      </c>
      <c r="C58" s="275">
        <f t="shared" ref="C58:L58" si="10">SUM(C47:C49)+SUM(C53:C57)</f>
        <v>137404.81</v>
      </c>
      <c r="D58" s="39">
        <f t="shared" si="10"/>
        <v>159360.85</v>
      </c>
      <c r="E58" s="39">
        <f t="shared" si="10"/>
        <v>162065.99</v>
      </c>
      <c r="F58" s="39">
        <f t="shared" si="10"/>
        <v>177109.46000000002</v>
      </c>
      <c r="G58" s="98">
        <f t="shared" si="10"/>
        <v>201970.90000000002</v>
      </c>
      <c r="H58" s="282">
        <f>SUM(H47:H49)+SUM(H53:H57)</f>
        <v>230229.58997328521</v>
      </c>
      <c r="I58" s="40">
        <f t="shared" si="10"/>
        <v>237185.95746644761</v>
      </c>
      <c r="J58" s="40">
        <f t="shared" si="10"/>
        <v>242277.99705171835</v>
      </c>
      <c r="K58" s="40">
        <f t="shared" si="10"/>
        <v>251140.30755021208</v>
      </c>
      <c r="L58" s="207">
        <f t="shared" si="10"/>
        <v>263059.18142936914</v>
      </c>
    </row>
    <row r="59" spans="2:12" ht="33.6" customHeight="1" x14ac:dyDescent="0.2">
      <c r="B59" s="208" t="s">
        <v>88</v>
      </c>
      <c r="C59" s="238">
        <f>bs!B65</f>
        <v>3.2</v>
      </c>
      <c r="D59" s="36">
        <f>bs!C65</f>
        <v>79.73</v>
      </c>
      <c r="E59" s="36">
        <f>bs!D65</f>
        <v>0</v>
      </c>
      <c r="F59" s="36">
        <f>bs!E65</f>
        <v>0</v>
      </c>
      <c r="G59" s="55">
        <f>bs!F65</f>
        <v>0</v>
      </c>
      <c r="H59" s="230">
        <f>G59</f>
        <v>0</v>
      </c>
      <c r="I59" s="37">
        <f>H59</f>
        <v>0</v>
      </c>
      <c r="J59" s="37">
        <f>I59</f>
        <v>0</v>
      </c>
      <c r="K59" s="37">
        <f>J59</f>
        <v>0</v>
      </c>
      <c r="L59" s="205">
        <f>K59</f>
        <v>0</v>
      </c>
    </row>
    <row r="60" spans="2:12" x14ac:dyDescent="0.2">
      <c r="B60" s="210"/>
      <c r="C60" s="238"/>
      <c r="D60" s="36"/>
      <c r="E60" s="36"/>
      <c r="F60" s="36"/>
      <c r="G60" s="55"/>
      <c r="H60" s="230"/>
      <c r="I60" s="37"/>
      <c r="J60" s="37"/>
      <c r="K60" s="37"/>
      <c r="L60" s="205"/>
    </row>
    <row r="61" spans="2:12" x14ac:dyDescent="0.2">
      <c r="B61" s="211" t="s">
        <v>148</v>
      </c>
      <c r="C61" s="240">
        <f t="shared" ref="C61:L61" si="11">C58+C59</f>
        <v>137408.01</v>
      </c>
      <c r="D61" s="42">
        <f t="shared" si="11"/>
        <v>159440.58000000002</v>
      </c>
      <c r="E61" s="42">
        <f t="shared" si="11"/>
        <v>162065.99</v>
      </c>
      <c r="F61" s="42">
        <f t="shared" si="11"/>
        <v>177109.46000000002</v>
      </c>
      <c r="G61" s="56">
        <f t="shared" si="11"/>
        <v>201970.90000000002</v>
      </c>
      <c r="H61" s="231">
        <f t="shared" si="11"/>
        <v>230229.58997328521</v>
      </c>
      <c r="I61" s="43">
        <f t="shared" si="11"/>
        <v>237185.95746644761</v>
      </c>
      <c r="J61" s="43">
        <f t="shared" si="11"/>
        <v>242277.99705171835</v>
      </c>
      <c r="K61" s="43">
        <f t="shared" si="11"/>
        <v>251140.30755021208</v>
      </c>
      <c r="L61" s="212">
        <f t="shared" si="11"/>
        <v>263059.18142936914</v>
      </c>
    </row>
    <row r="62" spans="2:12" x14ac:dyDescent="0.2">
      <c r="B62" s="219"/>
      <c r="C62" s="238"/>
      <c r="D62" s="36"/>
      <c r="E62" s="36"/>
      <c r="F62" s="36"/>
      <c r="G62" s="55"/>
      <c r="H62" s="230"/>
      <c r="I62" s="37"/>
      <c r="J62" s="37"/>
      <c r="K62" s="37"/>
      <c r="L62" s="205"/>
    </row>
    <row r="63" spans="2:12" x14ac:dyDescent="0.2">
      <c r="B63" s="214" t="s">
        <v>149</v>
      </c>
      <c r="C63" s="238"/>
      <c r="D63" s="36"/>
      <c r="E63" s="36"/>
      <c r="F63" s="36"/>
      <c r="G63" s="55"/>
      <c r="H63" s="230"/>
      <c r="I63" s="37"/>
      <c r="J63" s="37"/>
      <c r="K63" s="37"/>
      <c r="L63" s="205"/>
    </row>
    <row r="64" spans="2:12" x14ac:dyDescent="0.2">
      <c r="B64" s="204" t="s">
        <v>73</v>
      </c>
      <c r="C64" s="238">
        <f>bs!B46</f>
        <v>82120.039999999994</v>
      </c>
      <c r="D64" s="36">
        <f>bs!C46</f>
        <v>61618.31</v>
      </c>
      <c r="E64" s="36">
        <f>bs!D46</f>
        <v>61217.68</v>
      </c>
      <c r="F64" s="36">
        <f>bs!E46</f>
        <v>56506.97</v>
      </c>
      <c r="G64" s="55">
        <f>bs!F46</f>
        <v>57503.34</v>
      </c>
      <c r="H64" s="230">
        <f>'bs drivers'!H224</f>
        <v>58002.671999999999</v>
      </c>
      <c r="I64" s="37">
        <f>'bs drivers'!I224</f>
        <v>43502.004000000001</v>
      </c>
      <c r="J64" s="37">
        <f>'bs drivers'!J224</f>
        <v>29001.336000000003</v>
      </c>
      <c r="K64" s="37">
        <f>'bs drivers'!K224</f>
        <v>14500.668000000003</v>
      </c>
      <c r="L64" s="205">
        <f>'bs drivers'!L224</f>
        <v>0</v>
      </c>
    </row>
    <row r="65" spans="2:12" x14ac:dyDescent="0.2">
      <c r="B65" s="204" t="s">
        <v>74</v>
      </c>
      <c r="C65" s="238">
        <f>bs!B47</f>
        <v>1617.72</v>
      </c>
      <c r="D65" s="36">
        <f>bs!C47</f>
        <v>1633.31</v>
      </c>
      <c r="E65" s="36">
        <f>bs!D47</f>
        <v>1646.31</v>
      </c>
      <c r="F65" s="36">
        <f>bs!E47</f>
        <v>1734.78</v>
      </c>
      <c r="G65" s="55">
        <f>bs!F47</f>
        <v>2265.2399999999998</v>
      </c>
      <c r="H65" s="230">
        <f>'bs drivers'!H231</f>
        <v>2750.8869541785657</v>
      </c>
      <c r="I65" s="37">
        <f>'bs drivers'!I231</f>
        <v>2938.0354899216381</v>
      </c>
      <c r="J65" s="37">
        <f>'bs drivers'!J231</f>
        <v>3173.6524412800159</v>
      </c>
      <c r="K65" s="37">
        <f>'bs drivers'!K231</f>
        <v>3472.277083942558</v>
      </c>
      <c r="L65" s="205">
        <f>'bs drivers'!L231</f>
        <v>3863.489860410858</v>
      </c>
    </row>
    <row r="66" spans="2:12" x14ac:dyDescent="0.2">
      <c r="B66" s="204" t="s">
        <v>75</v>
      </c>
      <c r="C66" s="238">
        <f>bs!B48</f>
        <v>186.74</v>
      </c>
      <c r="D66" s="36">
        <f>bs!C48</f>
        <v>122.94</v>
      </c>
      <c r="E66" s="36">
        <f>bs!D48</f>
        <v>272.95999999999998</v>
      </c>
      <c r="F66" s="36">
        <f>bs!E48</f>
        <v>96.07</v>
      </c>
      <c r="G66" s="55">
        <f>bs!F48</f>
        <v>252.18</v>
      </c>
      <c r="H66" s="230">
        <f>'bs drivers'!H236</f>
        <v>252.18</v>
      </c>
      <c r="I66" s="37">
        <f>'bs drivers'!I236</f>
        <v>252.18</v>
      </c>
      <c r="J66" s="37">
        <f>'bs drivers'!J236</f>
        <v>252.18</v>
      </c>
      <c r="K66" s="37">
        <f>'bs drivers'!K236</f>
        <v>252.18</v>
      </c>
      <c r="L66" s="205">
        <f>'bs drivers'!L236</f>
        <v>252.18</v>
      </c>
    </row>
    <row r="67" spans="2:12" x14ac:dyDescent="0.2">
      <c r="B67" s="204" t="s">
        <v>76</v>
      </c>
      <c r="C67" s="238">
        <f>bs!B49</f>
        <v>773.78</v>
      </c>
      <c r="D67" s="36">
        <f>bs!C49</f>
        <v>817.77</v>
      </c>
      <c r="E67" s="36">
        <f>bs!D49</f>
        <v>869.99</v>
      </c>
      <c r="F67" s="36">
        <f>bs!E49</f>
        <v>987.38</v>
      </c>
      <c r="G67" s="55">
        <f>bs!F49</f>
        <v>1124.01</v>
      </c>
      <c r="H67" s="230">
        <f>'bs drivers'!H238</f>
        <v>1124.01</v>
      </c>
      <c r="I67" s="37">
        <f>'bs drivers'!I238</f>
        <v>1124.01</v>
      </c>
      <c r="J67" s="37">
        <f>'bs drivers'!J238</f>
        <v>1124.01</v>
      </c>
      <c r="K67" s="37">
        <f>'bs drivers'!K238</f>
        <v>1124.01</v>
      </c>
      <c r="L67" s="205">
        <f>'bs drivers'!L238</f>
        <v>1124.01</v>
      </c>
    </row>
    <row r="68" spans="2:12" x14ac:dyDescent="0.2">
      <c r="B68" s="204" t="s">
        <v>77</v>
      </c>
      <c r="C68" s="238">
        <f>bs!B50</f>
        <v>1178.6600000000001</v>
      </c>
      <c r="D68" s="36">
        <f>bs!C50</f>
        <v>1039.33</v>
      </c>
      <c r="E68" s="36">
        <f>bs!D50</f>
        <v>630.42999999999995</v>
      </c>
      <c r="F68" s="36">
        <f>bs!E50</f>
        <v>533.63</v>
      </c>
      <c r="G68" s="55">
        <f>bs!F50</f>
        <v>410.01</v>
      </c>
      <c r="H68" s="230">
        <f>'bs drivers'!H240</f>
        <v>741.05112435545345</v>
      </c>
      <c r="I68" s="37">
        <f>'bs drivers'!I240</f>
        <v>1339.3740857746927</v>
      </c>
      <c r="J68" s="37">
        <f>'bs drivers'!J240</f>
        <v>2420.7816204382661</v>
      </c>
      <c r="K68" s="37">
        <f>'bs drivers'!K240</f>
        <v>4375.3150938874505</v>
      </c>
      <c r="L68" s="205">
        <f>'bs drivers'!L240</f>
        <v>7907.9343668073498</v>
      </c>
    </row>
    <row r="69" spans="2:12" x14ac:dyDescent="0.2">
      <c r="B69" s="204" t="s">
        <v>78</v>
      </c>
      <c r="C69" s="238">
        <f>bs!B51</f>
        <v>68.7</v>
      </c>
      <c r="D69" s="36">
        <f>bs!C51</f>
        <v>21.27</v>
      </c>
      <c r="E69" s="36">
        <f>bs!D51</f>
        <v>81.73</v>
      </c>
      <c r="F69" s="36">
        <f>bs!E51</f>
        <v>618.02</v>
      </c>
      <c r="G69" s="55">
        <f>bs!F51</f>
        <v>594.74</v>
      </c>
      <c r="H69" s="230">
        <f>'bs drivers'!H244</f>
        <v>594.74</v>
      </c>
      <c r="I69" s="37">
        <f>'bs drivers'!I244</f>
        <v>594.74</v>
      </c>
      <c r="J69" s="37">
        <f>'bs drivers'!J244</f>
        <v>594.74</v>
      </c>
      <c r="K69" s="37">
        <f>'bs drivers'!K244</f>
        <v>594.74</v>
      </c>
      <c r="L69" s="205">
        <f>'bs drivers'!L244</f>
        <v>594.74</v>
      </c>
    </row>
    <row r="70" spans="2:12" x14ac:dyDescent="0.2">
      <c r="B70" s="214"/>
      <c r="C70" s="238"/>
      <c r="D70" s="36"/>
      <c r="E70" s="36"/>
      <c r="F70" s="36"/>
      <c r="G70" s="55"/>
      <c r="H70" s="230"/>
      <c r="I70" s="37"/>
      <c r="J70" s="37"/>
      <c r="K70" s="37"/>
      <c r="L70" s="205"/>
    </row>
    <row r="71" spans="2:12" x14ac:dyDescent="0.2">
      <c r="B71" s="211" t="s">
        <v>150</v>
      </c>
      <c r="C71" s="240">
        <f t="shared" ref="C71:L71" si="12">SUM(C64:C69)</f>
        <v>85945.64</v>
      </c>
      <c r="D71" s="42">
        <f t="shared" si="12"/>
        <v>65252.929999999993</v>
      </c>
      <c r="E71" s="42">
        <f t="shared" si="12"/>
        <v>64719.1</v>
      </c>
      <c r="F71" s="42">
        <f t="shared" si="12"/>
        <v>60476.849999999991</v>
      </c>
      <c r="G71" s="56">
        <f t="shared" si="12"/>
        <v>62149.52</v>
      </c>
      <c r="H71" s="231">
        <f t="shared" si="12"/>
        <v>63465.540078534017</v>
      </c>
      <c r="I71" s="43">
        <f t="shared" si="12"/>
        <v>49750.343575696337</v>
      </c>
      <c r="J71" s="43">
        <f t="shared" si="12"/>
        <v>36566.700061718286</v>
      </c>
      <c r="K71" s="43">
        <f t="shared" si="12"/>
        <v>24319.190177830013</v>
      </c>
      <c r="L71" s="212">
        <f t="shared" si="12"/>
        <v>13742.354227218208</v>
      </c>
    </row>
    <row r="72" spans="2:12" x14ac:dyDescent="0.2">
      <c r="B72" s="211" t="s">
        <v>151</v>
      </c>
      <c r="C72" s="240">
        <f t="shared" ref="C72:L72" si="13">C61+C71</f>
        <v>223353.65000000002</v>
      </c>
      <c r="D72" s="42">
        <f t="shared" si="13"/>
        <v>224693.51</v>
      </c>
      <c r="E72" s="42">
        <f t="shared" si="13"/>
        <v>226785.09</v>
      </c>
      <c r="F72" s="42">
        <f t="shared" si="13"/>
        <v>237586.31</v>
      </c>
      <c r="G72" s="56">
        <f t="shared" si="13"/>
        <v>264120.42000000004</v>
      </c>
      <c r="H72" s="231">
        <f t="shared" si="13"/>
        <v>293695.13005181926</v>
      </c>
      <c r="I72" s="43">
        <f t="shared" si="13"/>
        <v>286936.30104214395</v>
      </c>
      <c r="J72" s="43">
        <f t="shared" si="13"/>
        <v>278844.69711343665</v>
      </c>
      <c r="K72" s="43">
        <f t="shared" si="13"/>
        <v>275459.49772804207</v>
      </c>
      <c r="L72" s="212">
        <f t="shared" si="13"/>
        <v>276801.53565658734</v>
      </c>
    </row>
    <row r="73" spans="2:12" x14ac:dyDescent="0.2">
      <c r="B73" s="219"/>
      <c r="C73" s="238"/>
      <c r="D73" s="36"/>
      <c r="E73" s="36"/>
      <c r="F73" s="36"/>
      <c r="G73" s="55"/>
      <c r="H73" s="230"/>
      <c r="I73" s="37"/>
      <c r="J73" s="37"/>
      <c r="K73" s="37"/>
      <c r="L73" s="205"/>
    </row>
    <row r="74" spans="2:12" x14ac:dyDescent="0.2">
      <c r="B74" s="214" t="s">
        <v>152</v>
      </c>
      <c r="C74" s="238"/>
      <c r="D74" s="36"/>
      <c r="E74" s="36"/>
      <c r="F74" s="36"/>
      <c r="G74" s="55"/>
      <c r="H74" s="230"/>
      <c r="I74" s="37"/>
      <c r="J74" s="37"/>
      <c r="K74" s="37"/>
      <c r="L74" s="205"/>
    </row>
    <row r="75" spans="2:12" x14ac:dyDescent="0.2">
      <c r="B75" s="204" t="s">
        <v>66</v>
      </c>
      <c r="C75" s="238">
        <f>bs!B39</f>
        <v>280.91000000000003</v>
      </c>
      <c r="D75" s="36">
        <f>bs!C39</f>
        <v>281.01</v>
      </c>
      <c r="E75" s="36">
        <f>bs!D39</f>
        <v>281.10000000000002</v>
      </c>
      <c r="F75" s="36">
        <f>bs!E39</f>
        <v>274.93</v>
      </c>
      <c r="G75" s="55">
        <f>bs!F39</f>
        <v>275.04000000000002</v>
      </c>
      <c r="H75" s="230">
        <f>'bs drivers'!H248</f>
        <v>275.04000000000002</v>
      </c>
      <c r="I75" s="37">
        <f>'bs drivers'!I248</f>
        <v>275.04000000000002</v>
      </c>
      <c r="J75" s="37">
        <f>'bs drivers'!J248</f>
        <v>275.04000000000002</v>
      </c>
      <c r="K75" s="37">
        <f>'bs drivers'!K248</f>
        <v>275.04000000000002</v>
      </c>
      <c r="L75" s="205">
        <f>'bs drivers'!L248</f>
        <v>275.04000000000002</v>
      </c>
    </row>
    <row r="76" spans="2:12" x14ac:dyDescent="0.2">
      <c r="B76" s="204" t="s">
        <v>153</v>
      </c>
      <c r="C76" s="238">
        <f>bs!B40</f>
        <v>75587.62</v>
      </c>
      <c r="D76" s="36">
        <f>bs!C40</f>
        <v>82126.649999999994</v>
      </c>
      <c r="E76" s="36">
        <f>bs!D40</f>
        <v>89044.85</v>
      </c>
      <c r="F76" s="36">
        <f>bs!E40</f>
        <v>86084.31</v>
      </c>
      <c r="G76" s="55">
        <f>bs!F40</f>
        <v>97380.56</v>
      </c>
      <c r="H76" s="230">
        <f>'bs drivers'!H249</f>
        <v>110661.24361267778</v>
      </c>
      <c r="I76" s="37">
        <f>'bs drivers'!I249</f>
        <v>124074.01620654442</v>
      </c>
      <c r="J76" s="37">
        <f>'bs drivers'!J249</f>
        <v>137245.07490489673</v>
      </c>
      <c r="K76" s="37">
        <f>'bs drivers'!K249</f>
        <v>148790.37173781323</v>
      </c>
      <c r="L76" s="205">
        <f>'bs drivers'!L249</f>
        <v>158484.54046846251</v>
      </c>
    </row>
    <row r="77" spans="2:12" x14ac:dyDescent="0.2">
      <c r="B77" s="206" t="s">
        <v>68</v>
      </c>
      <c r="C77" s="275">
        <f t="shared" ref="C77:L77" si="14">C76+C75</f>
        <v>75868.53</v>
      </c>
      <c r="D77" s="39">
        <f t="shared" si="14"/>
        <v>82407.659999999989</v>
      </c>
      <c r="E77" s="39">
        <f t="shared" si="14"/>
        <v>89325.950000000012</v>
      </c>
      <c r="F77" s="39">
        <f t="shared" si="14"/>
        <v>86359.239999999991</v>
      </c>
      <c r="G77" s="98">
        <f t="shared" si="14"/>
        <v>97655.599999999991</v>
      </c>
      <c r="H77" s="282">
        <f t="shared" si="14"/>
        <v>110936.28361267777</v>
      </c>
      <c r="I77" s="40">
        <f t="shared" si="14"/>
        <v>124349.05620654441</v>
      </c>
      <c r="J77" s="40">
        <f t="shared" si="14"/>
        <v>137520.11490489673</v>
      </c>
      <c r="K77" s="40">
        <f t="shared" si="14"/>
        <v>149065.41173781324</v>
      </c>
      <c r="L77" s="207">
        <f t="shared" si="14"/>
        <v>158759.58046846252</v>
      </c>
    </row>
    <row r="78" spans="2:12" x14ac:dyDescent="0.2">
      <c r="B78" s="204" t="s">
        <v>69</v>
      </c>
      <c r="C78" s="238">
        <f>bs!B42</f>
        <v>12051.53</v>
      </c>
      <c r="D78" s="36">
        <f>bs!C42</f>
        <v>12966.07</v>
      </c>
      <c r="E78" s="36">
        <f>bs!D42</f>
        <v>14241.27</v>
      </c>
      <c r="F78" s="36">
        <f>bs!E42</f>
        <v>16190.42</v>
      </c>
      <c r="G78" s="55">
        <f>bs!F42</f>
        <v>17748.080000000002</v>
      </c>
      <c r="H78" s="230">
        <f>'bs drivers'!H251</f>
        <v>17748.080000000002</v>
      </c>
      <c r="I78" s="37">
        <f>'bs drivers'!I251</f>
        <v>17748.080000000002</v>
      </c>
      <c r="J78" s="37">
        <f>'bs drivers'!J251</f>
        <v>17748.080000000002</v>
      </c>
      <c r="K78" s="37">
        <f>'bs drivers'!K251</f>
        <v>17748.080000000002</v>
      </c>
      <c r="L78" s="205">
        <f>'bs drivers'!L251</f>
        <v>17748.080000000002</v>
      </c>
    </row>
    <row r="79" spans="2:12" x14ac:dyDescent="0.2">
      <c r="B79" s="218" t="s">
        <v>154</v>
      </c>
      <c r="C79" s="277">
        <f t="shared" ref="C79:L79" si="15">SUM(C77:C78)</f>
        <v>87920.06</v>
      </c>
      <c r="D79" s="49">
        <f t="shared" si="15"/>
        <v>95373.729999999981</v>
      </c>
      <c r="E79" s="49">
        <f t="shared" si="15"/>
        <v>103567.22000000002</v>
      </c>
      <c r="F79" s="49">
        <f t="shared" si="15"/>
        <v>102549.65999999999</v>
      </c>
      <c r="G79" s="278">
        <f t="shared" si="15"/>
        <v>115403.68</v>
      </c>
      <c r="H79" s="283">
        <f t="shared" si="15"/>
        <v>128684.36361267777</v>
      </c>
      <c r="I79" s="50">
        <f t="shared" si="15"/>
        <v>142097.13620654441</v>
      </c>
      <c r="J79" s="50">
        <f t="shared" si="15"/>
        <v>155268.19490489672</v>
      </c>
      <c r="K79" s="50">
        <f t="shared" si="15"/>
        <v>166813.49173781322</v>
      </c>
      <c r="L79" s="221">
        <f t="shared" si="15"/>
        <v>176507.66046846251</v>
      </c>
    </row>
    <row r="80" spans="2:12" x14ac:dyDescent="0.2">
      <c r="B80" s="211" t="s">
        <v>155</v>
      </c>
      <c r="C80" s="240">
        <f t="shared" ref="C80:L80" si="16">C72+C79</f>
        <v>311273.71000000002</v>
      </c>
      <c r="D80" s="42">
        <f t="shared" si="16"/>
        <v>320067.24</v>
      </c>
      <c r="E80" s="42">
        <f t="shared" si="16"/>
        <v>330352.31</v>
      </c>
      <c r="F80" s="42">
        <f t="shared" si="16"/>
        <v>340135.97</v>
      </c>
      <c r="G80" s="56">
        <f t="shared" si="16"/>
        <v>379524.10000000003</v>
      </c>
      <c r="H80" s="231">
        <f t="shared" si="16"/>
        <v>422379.49366449704</v>
      </c>
      <c r="I80" s="43">
        <f t="shared" si="16"/>
        <v>429033.43724868837</v>
      </c>
      <c r="J80" s="43">
        <f t="shared" si="16"/>
        <v>434112.89201833337</v>
      </c>
      <c r="K80" s="43">
        <f t="shared" si="16"/>
        <v>442272.98946585529</v>
      </c>
      <c r="L80" s="212">
        <f t="shared" si="16"/>
        <v>453309.19612504984</v>
      </c>
    </row>
    <row r="81" spans="2:12" x14ac:dyDescent="0.2">
      <c r="B81" s="219"/>
      <c r="C81" s="279"/>
      <c r="G81" s="222"/>
      <c r="H81" s="279"/>
      <c r="L81" s="222"/>
    </row>
    <row r="82" spans="2:12" x14ac:dyDescent="0.2">
      <c r="B82" s="223" t="s">
        <v>156</v>
      </c>
      <c r="C82" s="280">
        <f t="shared" ref="C82:L82" si="17">C44-C80</f>
        <v>0</v>
      </c>
      <c r="D82" s="224">
        <f t="shared" si="17"/>
        <v>0</v>
      </c>
      <c r="E82" s="224">
        <f t="shared" si="17"/>
        <v>0</v>
      </c>
      <c r="F82" s="224">
        <f t="shared" si="17"/>
        <v>0</v>
      </c>
      <c r="G82" s="281">
        <f t="shared" si="17"/>
        <v>0</v>
      </c>
      <c r="H82" s="284">
        <f>H44-H80</f>
        <v>0</v>
      </c>
      <c r="I82" s="225">
        <f t="shared" si="17"/>
        <v>0</v>
      </c>
      <c r="J82" s="225">
        <f t="shared" si="17"/>
        <v>0</v>
      </c>
      <c r="K82" s="225">
        <f t="shared" si="17"/>
        <v>0</v>
      </c>
      <c r="L82" s="226">
        <f t="shared" si="17"/>
        <v>0</v>
      </c>
    </row>
  </sheetData>
  <hyperlinks>
    <hyperlink ref="L2" location="Index!A1" display="Index!A1" xr:uid="{D255C994-A82E-438C-AB9F-5751FE74F4D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09C3-363F-45C9-9050-762EC3B04243}">
  <sheetPr codeName="Sheet8">
    <tabColor theme="2" tint="-0.499984740745262"/>
  </sheetPr>
  <dimension ref="A1"/>
  <sheetViews>
    <sheetView workbookViewId="0">
      <selection activeCell="H20" sqref="H20"/>
    </sheetView>
  </sheetViews>
  <sheetFormatPr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6FFC-3B1B-4A76-B3A2-095B5D77419E}">
  <sheetPr codeName="Sheet9"/>
  <dimension ref="B1:H21"/>
  <sheetViews>
    <sheetView showGridLines="0" topLeftCell="A4" workbookViewId="0">
      <selection activeCell="D6" sqref="D6"/>
    </sheetView>
  </sheetViews>
  <sheetFormatPr defaultRowHeight="15" x14ac:dyDescent="0.2"/>
  <cols>
    <col min="1" max="1" width="6.05078125" customWidth="1"/>
    <col min="2" max="2" width="29.7265625" bestFit="1" customWidth="1"/>
    <col min="4" max="4" width="10.89453125" bestFit="1" customWidth="1"/>
    <col min="7" max="7" width="28.25" bestFit="1" customWidth="1"/>
  </cols>
  <sheetData>
    <row r="1" spans="2:8" x14ac:dyDescent="0.2">
      <c r="B1" s="1"/>
      <c r="C1" s="1"/>
      <c r="D1" s="1"/>
      <c r="E1" s="1"/>
      <c r="F1" s="1"/>
      <c r="G1" s="1"/>
      <c r="H1" s="1"/>
    </row>
    <row r="2" spans="2:8" ht="29.25" x14ac:dyDescent="0.4">
      <c r="B2" s="411" t="s">
        <v>260</v>
      </c>
      <c r="C2" s="411"/>
      <c r="D2" s="411"/>
      <c r="E2" s="411"/>
      <c r="F2" s="1"/>
      <c r="G2" s="1"/>
      <c r="H2" s="1"/>
    </row>
    <row r="3" spans="2:8" x14ac:dyDescent="0.2">
      <c r="B3" s="125" t="s">
        <v>261</v>
      </c>
      <c r="C3" s="1"/>
      <c r="D3" s="1"/>
      <c r="E3" s="1"/>
      <c r="F3" s="1"/>
      <c r="G3" s="1"/>
      <c r="H3" s="1"/>
    </row>
    <row r="4" spans="2:8" x14ac:dyDescent="0.2">
      <c r="B4" s="412" t="s">
        <v>262</v>
      </c>
      <c r="C4" s="412"/>
      <c r="D4" s="412"/>
      <c r="E4" s="1"/>
      <c r="F4" s="1"/>
      <c r="G4" s="1"/>
      <c r="H4" s="1"/>
    </row>
    <row r="6" spans="2:8" x14ac:dyDescent="0.2">
      <c r="B6" s="1" t="s">
        <v>263</v>
      </c>
      <c r="C6" s="1"/>
      <c r="D6" s="4">
        <f>'balance sheet1'!G79</f>
        <v>115403.68</v>
      </c>
      <c r="E6" s="1"/>
      <c r="F6" s="1"/>
      <c r="G6" s="1"/>
      <c r="H6" s="1"/>
    </row>
    <row r="7" spans="2:8" x14ac:dyDescent="0.2">
      <c r="B7" s="1" t="s">
        <v>264</v>
      </c>
      <c r="C7" s="1"/>
      <c r="D7" s="4">
        <f>'balance sheet1'!G64+'balance sheet1'!G47</f>
        <v>93364.64</v>
      </c>
      <c r="E7" s="1"/>
      <c r="F7" s="1"/>
      <c r="G7" s="1"/>
      <c r="H7" s="1"/>
    </row>
    <row r="8" spans="2:8" x14ac:dyDescent="0.2">
      <c r="B8" s="1"/>
      <c r="C8" s="1"/>
      <c r="D8" s="1"/>
      <c r="E8" s="1"/>
      <c r="F8" s="1"/>
      <c r="G8" s="1"/>
      <c r="H8" s="1"/>
    </row>
    <row r="9" spans="2:8" x14ac:dyDescent="0.2">
      <c r="B9" s="1" t="s">
        <v>265</v>
      </c>
      <c r="C9" s="1"/>
      <c r="D9" s="123">
        <f>'income statement'!C18/wacc!D7</f>
        <v>4.1915654577578836E-2</v>
      </c>
      <c r="E9" s="1"/>
      <c r="F9" s="1"/>
      <c r="G9" s="1"/>
      <c r="H9" s="1"/>
    </row>
    <row r="10" spans="2:8" x14ac:dyDescent="0.2">
      <c r="B10" s="1" t="s">
        <v>266</v>
      </c>
      <c r="C10" s="1"/>
      <c r="D10" s="124">
        <f>'p&amp;L drivers'!G26</f>
        <v>0.25499469572597966</v>
      </c>
      <c r="E10" s="1"/>
      <c r="F10" s="1"/>
      <c r="G10" s="1"/>
      <c r="H10" s="1"/>
    </row>
    <row r="11" spans="2:8" x14ac:dyDescent="0.2">
      <c r="B11" s="1" t="s">
        <v>267</v>
      </c>
      <c r="C11" s="1"/>
      <c r="D11" s="122">
        <f>D7/(D6+D7)</f>
        <v>0.44721651254366562</v>
      </c>
      <c r="E11" s="1"/>
      <c r="F11" s="1"/>
      <c r="G11" s="1"/>
      <c r="H11" s="1"/>
    </row>
    <row r="12" spans="2:8" x14ac:dyDescent="0.2">
      <c r="B12" s="121" t="s">
        <v>268</v>
      </c>
      <c r="C12" s="126"/>
      <c r="D12" s="127">
        <f>D9*(1-D10)</f>
        <v>3.1227384992413853E-2</v>
      </c>
      <c r="E12" s="1"/>
      <c r="F12" s="1"/>
      <c r="G12" s="1"/>
      <c r="H12" s="1"/>
    </row>
    <row r="14" spans="2:8" x14ac:dyDescent="0.2">
      <c r="B14" s="1" t="s">
        <v>269</v>
      </c>
      <c r="C14" s="1"/>
      <c r="D14" s="227">
        <v>6.5000000000000002E-2</v>
      </c>
      <c r="E14" s="1"/>
      <c r="F14" s="1"/>
      <c r="G14" s="3"/>
      <c r="H14" s="1"/>
    </row>
    <row r="15" spans="2:8" x14ac:dyDescent="0.2">
      <c r="B15" s="1" t="s">
        <v>270</v>
      </c>
      <c r="C15" s="1"/>
      <c r="D15" s="227">
        <v>0.12590000000000001</v>
      </c>
      <c r="E15" s="1"/>
      <c r="F15" s="1"/>
      <c r="G15" s="1"/>
      <c r="H15" s="1"/>
    </row>
    <row r="16" spans="2:8" x14ac:dyDescent="0.2">
      <c r="B16" s="1" t="s">
        <v>271</v>
      </c>
      <c r="C16" s="1"/>
      <c r="D16" s="124">
        <f>D15-D14</f>
        <v>6.090000000000001E-2</v>
      </c>
      <c r="E16" s="1"/>
      <c r="F16" s="1"/>
      <c r="G16" s="1"/>
      <c r="H16" s="1"/>
    </row>
    <row r="17" spans="2:4" x14ac:dyDescent="0.2">
      <c r="B17" s="1" t="s">
        <v>272</v>
      </c>
      <c r="C17" s="1"/>
      <c r="D17" s="410">
        <v>1</v>
      </c>
    </row>
    <row r="18" spans="2:4" x14ac:dyDescent="0.2">
      <c r="B18" s="1" t="s">
        <v>273</v>
      </c>
      <c r="C18" s="1"/>
      <c r="D18" s="128">
        <f>1-D11</f>
        <v>0.55278348745633443</v>
      </c>
    </row>
    <row r="19" spans="2:4" x14ac:dyDescent="0.2">
      <c r="B19" s="121" t="s">
        <v>274</v>
      </c>
      <c r="C19" s="126"/>
      <c r="D19" s="129">
        <f>D14+(D17*D16)</f>
        <v>0.12590000000000001</v>
      </c>
    </row>
    <row r="21" spans="2:4" x14ac:dyDescent="0.2">
      <c r="B21" s="121" t="s">
        <v>275</v>
      </c>
      <c r="C21" s="126"/>
      <c r="D21" s="129">
        <v>8.1574162267531794E-2</v>
      </c>
    </row>
  </sheetData>
  <mergeCells count="2">
    <mergeCell ref="B2:E2"/>
    <mergeCell ref="B4:D4"/>
  </mergeCells>
  <dataValidations count="1">
    <dataValidation allowBlank="1" showInputMessage="1" showErrorMessage="1" promptTitle="TAKEN FROM INVESTING.COM" prompt="https://in.investing.com/rates-bonds/india-10-year-bond-yield-historical-data" sqref="D14" xr:uid="{B89CF443-E822-464B-B500-1EB49E71E7A0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EAA6-DCC2-410D-89F3-6066924A2C68}">
  <sheetPr codeName="Sheet10"/>
  <dimension ref="B1:L25"/>
  <sheetViews>
    <sheetView topLeftCell="A3" workbookViewId="0">
      <selection activeCell="B13" sqref="B13:C24"/>
    </sheetView>
  </sheetViews>
  <sheetFormatPr defaultRowHeight="15" x14ac:dyDescent="0.2"/>
  <cols>
    <col min="2" max="2" width="27.0390625" bestFit="1" customWidth="1"/>
    <col min="3" max="3" width="10.22265625" bestFit="1" customWidth="1"/>
    <col min="4" max="4" width="13.1796875" bestFit="1" customWidth="1"/>
    <col min="8" max="8" width="9.01171875" bestFit="1" customWidth="1"/>
    <col min="12" max="12" width="11.296875" bestFit="1" customWidth="1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33" t="s">
        <v>120</v>
      </c>
    </row>
    <row r="2" spans="2:12" ht="29.25" x14ac:dyDescent="0.4">
      <c r="B2" s="138" t="s">
        <v>276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">
      <c r="B3" s="1" t="s">
        <v>122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40" t="s">
        <v>123</v>
      </c>
      <c r="C4" s="141">
        <v>44389</v>
      </c>
      <c r="D4" s="141">
        <v>44754</v>
      </c>
      <c r="E4" s="141">
        <v>45119</v>
      </c>
      <c r="F4" s="141">
        <v>45484</v>
      </c>
      <c r="G4" s="143">
        <v>45849</v>
      </c>
      <c r="H4" s="142">
        <v>46214</v>
      </c>
      <c r="I4" s="142">
        <v>46579</v>
      </c>
      <c r="J4" s="142">
        <v>46944</v>
      </c>
      <c r="K4" s="142">
        <v>47309</v>
      </c>
      <c r="L4" s="142">
        <v>47674</v>
      </c>
    </row>
    <row r="5" spans="2:12" x14ac:dyDescent="0.2">
      <c r="B5" s="1" t="s">
        <v>277</v>
      </c>
      <c r="C5" s="148"/>
      <c r="D5" s="148">
        <f>cashflow1!D26-cashflow1!D29-cashflow1!D30</f>
        <v>20532.659999999993</v>
      </c>
      <c r="E5" s="148">
        <f>cashflow1!E26-cashflow1!E29-cashflow1!E30</f>
        <v>27045.390000000032</v>
      </c>
      <c r="F5" s="148">
        <f>cashflow1!F26-cashflow1!F29-cashflow1!F30</f>
        <v>38786.839999999997</v>
      </c>
      <c r="G5" s="148">
        <f>cashflow1!G26-cashflow1!G29-cashflow1!G30</f>
        <v>28029.500000000029</v>
      </c>
      <c r="H5" s="148">
        <f>cashflow1!H26-cashflow1!H29-cashflow1!H30</f>
        <v>44809.178803941104</v>
      </c>
      <c r="I5" s="148">
        <f>cashflow1!I26-cashflow1!I29-cashflow1!I30</f>
        <v>28545.397280679772</v>
      </c>
      <c r="J5" s="148">
        <f>cashflow1!J26-cashflow1!J29-cashflow1!J30</f>
        <v>26603.423386867384</v>
      </c>
      <c r="K5" s="148">
        <f>cashflow1!K26-cashflow1!K29-cashflow1!K30</f>
        <v>26141.326060186067</v>
      </c>
      <c r="L5" s="148">
        <f>cashflow1!L26-cashflow1!L29-cashflow1!L30</f>
        <v>25418.268912709511</v>
      </c>
    </row>
    <row r="6" spans="2:12" x14ac:dyDescent="0.2">
      <c r="B6" s="1"/>
      <c r="C6" s="144"/>
      <c r="D6" s="149"/>
      <c r="E6" s="149"/>
      <c r="F6" s="149"/>
      <c r="G6" s="150"/>
      <c r="H6" s="151"/>
      <c r="I6" s="151"/>
      <c r="J6" s="151"/>
      <c r="K6" s="151" t="s">
        <v>331</v>
      </c>
      <c r="L6" s="151">
        <f>L5*(1+C14)/(C15-C14)</f>
        <v>845285.52593744965</v>
      </c>
    </row>
    <row r="7" spans="2:12" x14ac:dyDescent="0.2">
      <c r="B7" s="1"/>
      <c r="C7" s="132"/>
      <c r="D7" s="134"/>
      <c r="E7" s="134"/>
      <c r="F7" s="134"/>
      <c r="G7" s="145"/>
      <c r="H7" s="135"/>
      <c r="I7" s="135"/>
      <c r="J7" s="135"/>
      <c r="K7" s="135"/>
      <c r="L7" s="135"/>
    </row>
    <row r="8" spans="2:12" x14ac:dyDescent="0.2">
      <c r="B8" s="1" t="s">
        <v>278</v>
      </c>
      <c r="C8" s="132"/>
      <c r="D8" s="134"/>
      <c r="E8" s="134"/>
      <c r="F8" s="134"/>
      <c r="G8" s="146">
        <v>0</v>
      </c>
      <c r="H8" s="228">
        <v>1</v>
      </c>
      <c r="I8" s="228">
        <v>2</v>
      </c>
      <c r="J8" s="228">
        <v>3</v>
      </c>
      <c r="K8" s="228">
        <v>4</v>
      </c>
      <c r="L8" s="228">
        <v>5</v>
      </c>
    </row>
    <row r="9" spans="2:12" x14ac:dyDescent="0.2">
      <c r="B9" s="3" t="s">
        <v>279</v>
      </c>
      <c r="C9" s="132"/>
      <c r="D9" s="134"/>
      <c r="E9" s="134"/>
      <c r="F9" s="134"/>
      <c r="G9" s="145"/>
      <c r="H9" s="152">
        <f>PV($C$15,H8,,-H5,)</f>
        <v>41429.594351623724</v>
      </c>
      <c r="I9" s="152">
        <f>PV($C$15,I8,,-I5,)</f>
        <v>24401.891062238414</v>
      </c>
      <c r="J9" s="152">
        <f>PV($C$15,J8,,-J5,)</f>
        <v>21026.578777043262</v>
      </c>
      <c r="K9" s="152">
        <f>PV($C$15,K8,,-K5,)</f>
        <v>19103.036199171373</v>
      </c>
      <c r="L9" s="152">
        <f>PV($C$15,L8,,-L5,)</f>
        <v>17173.722879911147</v>
      </c>
    </row>
    <row r="10" spans="2:12" x14ac:dyDescent="0.2">
      <c r="B10" s="1"/>
      <c r="C10" s="132"/>
      <c r="D10" s="132"/>
      <c r="E10" s="132"/>
      <c r="F10" s="132"/>
      <c r="G10" s="147"/>
      <c r="H10" s="133"/>
      <c r="I10" s="133"/>
      <c r="J10" s="133"/>
      <c r="K10" s="133" t="s">
        <v>332</v>
      </c>
      <c r="L10" s="133">
        <f>PV(C15,L8,,-L6)</f>
        <v>571112.82545252889</v>
      </c>
    </row>
    <row r="11" spans="2:12" x14ac:dyDescent="0.2">
      <c r="B11" s="1"/>
      <c r="C11" s="1"/>
      <c r="D11" s="130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412" t="s">
        <v>280</v>
      </c>
      <c r="C12" s="412"/>
      <c r="D12" s="130"/>
      <c r="E12" s="1"/>
      <c r="F12" s="1"/>
      <c r="G12" s="1"/>
      <c r="H12" s="1"/>
      <c r="I12" s="1"/>
      <c r="J12" s="131"/>
      <c r="K12" s="1"/>
      <c r="L12" s="1"/>
    </row>
    <row r="13" spans="2:12" x14ac:dyDescent="0.2">
      <c r="B13" s="1" t="s">
        <v>281</v>
      </c>
      <c r="C13" s="154">
        <f>SUM(H9:L9)</f>
        <v>123134.82326998792</v>
      </c>
      <c r="D13" s="130"/>
      <c r="E13" s="1"/>
      <c r="F13" s="413" t="s">
        <v>282</v>
      </c>
      <c r="G13" s="413"/>
      <c r="H13" s="413"/>
      <c r="I13" s="413"/>
      <c r="J13" s="413"/>
      <c r="K13" s="413"/>
      <c r="L13" s="414"/>
    </row>
    <row r="14" spans="2:12" x14ac:dyDescent="0.2">
      <c r="B14" s="1" t="s">
        <v>283</v>
      </c>
      <c r="C14" s="227">
        <v>0.05</v>
      </c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">
      <c r="B15" s="1" t="s">
        <v>275</v>
      </c>
      <c r="C15" s="124">
        <f>wacc!D21</f>
        <v>8.1574162267531794E-2</v>
      </c>
      <c r="D15" s="124"/>
      <c r="E15" s="124"/>
      <c r="F15" s="1"/>
      <c r="G15" s="1"/>
      <c r="H15" s="413" t="s">
        <v>284</v>
      </c>
      <c r="I15" s="413"/>
      <c r="J15" s="413"/>
      <c r="K15" s="413"/>
      <c r="L15" s="413"/>
    </row>
    <row r="16" spans="2:12" x14ac:dyDescent="0.2">
      <c r="B16" s="1" t="s">
        <v>285</v>
      </c>
      <c r="C16" s="154">
        <f>L6</f>
        <v>845285.52593744965</v>
      </c>
      <c r="D16" s="124"/>
      <c r="E16" s="124"/>
      <c r="F16" s="1"/>
      <c r="G16" s="153">
        <f>C24</f>
        <v>4328.051023038428</v>
      </c>
      <c r="H16" s="137">
        <v>4.0000000000000008E-2</v>
      </c>
      <c r="I16" s="137">
        <v>4.5000000000000005E-2</v>
      </c>
      <c r="J16" s="137">
        <v>0.05</v>
      </c>
      <c r="K16" s="137">
        <v>5.5E-2</v>
      </c>
      <c r="L16" s="137">
        <v>0.06</v>
      </c>
    </row>
    <row r="17" spans="2:12" x14ac:dyDescent="0.2">
      <c r="B17" s="1" t="s">
        <v>286</v>
      </c>
      <c r="C17" s="154">
        <f>L10</f>
        <v>571112.82545252889</v>
      </c>
      <c r="D17" s="124"/>
      <c r="E17" s="124"/>
      <c r="F17" s="415" t="s">
        <v>275</v>
      </c>
      <c r="G17" s="139">
        <v>7.1574162267531785E-2</v>
      </c>
      <c r="H17" s="154">
        <f t="dataTable" ref="H17:L21" dt2D="1" dtr="1" r1="C14" r2="C15"/>
        <v>4505.6633590920428</v>
      </c>
      <c r="I17" s="154">
        <v>5340.8357202670859</v>
      </c>
      <c r="J17" s="154">
        <v>6563.1250182753811</v>
      </c>
      <c r="K17" s="154">
        <v>8522.8810300027253</v>
      </c>
      <c r="L17" s="154">
        <v>12175.853333698702</v>
      </c>
    </row>
    <row r="18" spans="2:12" x14ac:dyDescent="0.2">
      <c r="B18" s="1" t="s">
        <v>287</v>
      </c>
      <c r="C18" s="154">
        <f>C17+C13</f>
        <v>694247.64872251684</v>
      </c>
      <c r="D18" s="1"/>
      <c r="E18" s="124"/>
      <c r="F18" s="415"/>
      <c r="G18" s="139">
        <v>7.657416226753179E-2</v>
      </c>
      <c r="H18" s="154">
        <v>3820.2215576382564</v>
      </c>
      <c r="I18" s="155">
        <v>4415.8486341246617</v>
      </c>
      <c r="J18" s="155">
        <v>5235.6133788054631</v>
      </c>
      <c r="K18" s="155">
        <v>6435.3533616972563</v>
      </c>
      <c r="L18" s="154">
        <v>8358.9549573367658</v>
      </c>
    </row>
    <row r="19" spans="2:12" x14ac:dyDescent="0.2">
      <c r="B19" s="1" t="s">
        <v>288</v>
      </c>
      <c r="C19" s="154">
        <f>'balance sheet1'!G10</f>
        <v>12187</v>
      </c>
      <c r="D19" s="124"/>
      <c r="E19" s="124"/>
      <c r="F19" s="415"/>
      <c r="G19" s="139">
        <v>8.1574162267531794E-2</v>
      </c>
      <c r="H19" s="154">
        <v>3299.3103682276687</v>
      </c>
      <c r="I19" s="155">
        <v>3743.361883729322</v>
      </c>
      <c r="J19" s="156">
        <v>4328.051023038428</v>
      </c>
      <c r="K19" s="155">
        <v>5132.7618260307845</v>
      </c>
      <c r="L19" s="154">
        <v>6310.4701030448387</v>
      </c>
    </row>
    <row r="20" spans="2:12" x14ac:dyDescent="0.2">
      <c r="B20" s="1" t="s">
        <v>289</v>
      </c>
      <c r="C20" s="154">
        <f>wacc!D7</f>
        <v>93364.64</v>
      </c>
      <c r="D20" s="124"/>
      <c r="E20" s="124"/>
      <c r="F20" s="415"/>
      <c r="G20" s="139">
        <v>8.6574162267531798E-2</v>
      </c>
      <c r="H20" s="154">
        <v>2889.9460223980473</v>
      </c>
      <c r="I20" s="155">
        <v>3232.2803203862441</v>
      </c>
      <c r="J20" s="155">
        <v>3668.2146564242817</v>
      </c>
      <c r="K20" s="155">
        <v>4242.2157865531026</v>
      </c>
      <c r="L20" s="154">
        <v>5032.2166251017579</v>
      </c>
    </row>
    <row r="21" spans="2:12" x14ac:dyDescent="0.2">
      <c r="B21" s="1" t="s">
        <v>290</v>
      </c>
      <c r="C21" s="154">
        <f>'balance sheet1'!G78</f>
        <v>17748.080000000002</v>
      </c>
      <c r="D21" s="124"/>
      <c r="E21" s="124"/>
      <c r="F21" s="415"/>
      <c r="G21" s="139">
        <v>9.1574162267531803E-2</v>
      </c>
      <c r="H21" s="154">
        <v>2559.6912403439278</v>
      </c>
      <c r="I21" s="154">
        <v>2830.6269458655383</v>
      </c>
      <c r="J21" s="154">
        <v>3166.7319033321746</v>
      </c>
      <c r="K21" s="154">
        <v>3594.7336908637344</v>
      </c>
      <c r="L21" s="154">
        <v>4158.2899180998375</v>
      </c>
    </row>
    <row r="22" spans="2:12" x14ac:dyDescent="0.2">
      <c r="B22" s="126" t="s">
        <v>291</v>
      </c>
      <c r="C22" s="158">
        <f>C18+C19-C20-C21</f>
        <v>595321.92872251687</v>
      </c>
      <c r="D22" s="124"/>
      <c r="E22" s="124"/>
      <c r="F22" s="124"/>
      <c r="G22" s="124"/>
      <c r="H22" s="1"/>
      <c r="I22" s="1"/>
      <c r="J22" s="1"/>
      <c r="K22" s="1"/>
      <c r="L22" s="1"/>
    </row>
    <row r="23" spans="2:12" x14ac:dyDescent="0.2">
      <c r="B23" s="126" t="s">
        <v>292</v>
      </c>
      <c r="C23" s="159">
        <f>cca!E7</f>
        <v>137.5496558505408</v>
      </c>
      <c r="D23" s="124"/>
      <c r="E23" s="124"/>
      <c r="F23" s="124"/>
      <c r="G23" s="124"/>
      <c r="H23" s="1"/>
      <c r="I23" s="1"/>
      <c r="J23" s="1"/>
      <c r="K23" s="1"/>
      <c r="L23" s="1"/>
    </row>
    <row r="24" spans="2:12" x14ac:dyDescent="0.2">
      <c r="B24" s="136" t="s">
        <v>293</v>
      </c>
      <c r="C24" s="157">
        <f>C22/C23</f>
        <v>4328.051023038428</v>
      </c>
      <c r="D24" s="124"/>
      <c r="E24" s="124"/>
      <c r="F24" s="124"/>
      <c r="G24" s="124"/>
      <c r="H24" s="1"/>
      <c r="I24" s="1"/>
      <c r="J24" s="1"/>
      <c r="K24" s="1"/>
      <c r="L24" s="1"/>
    </row>
    <row r="25" spans="2:12" x14ac:dyDescent="0.2">
      <c r="B25" s="1"/>
      <c r="C25" s="124"/>
      <c r="D25" s="124"/>
      <c r="E25" s="124"/>
      <c r="F25" s="124"/>
      <c r="G25" s="124"/>
      <c r="H25" s="1"/>
      <c r="I25" s="1"/>
      <c r="J25" s="1"/>
      <c r="K25" s="1"/>
      <c r="L25" s="1"/>
    </row>
  </sheetData>
  <mergeCells count="4">
    <mergeCell ref="B12:C12"/>
    <mergeCell ref="F13:L13"/>
    <mergeCell ref="H15:L15"/>
    <mergeCell ref="F17:F21"/>
  </mergeCells>
  <dataValidations count="1">
    <dataValidation allowBlank="1" showInputMessage="1" showErrorMessage="1" promptTitle="FORMULA FOR UFCF " prompt="CFO-CAPEX- ADDITION INTENGIBLE" sqref="D5" xr:uid="{A5B32BD6-ED04-4596-9351-6944D16C90EF}"/>
  </dataValidations>
  <hyperlinks>
    <hyperlink ref="L1" location="Index!A1" display="Index!A1" xr:uid="{11AEEF42-293E-4222-9FD4-2F185DFBFED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D29D-B341-4559-9BB2-8B96BF931CC7}">
  <sheetPr codeName="Sheet11"/>
  <dimension ref="B1:Q34"/>
  <sheetViews>
    <sheetView topLeftCell="A5" zoomScale="71" workbookViewId="0">
      <selection activeCell="O30" sqref="O30"/>
    </sheetView>
  </sheetViews>
  <sheetFormatPr defaultRowHeight="15" x14ac:dyDescent="0.2"/>
  <cols>
    <col min="2" max="2" width="56.765625" bestFit="1" customWidth="1"/>
    <col min="3" max="3" width="8.609375" bestFit="1" customWidth="1"/>
    <col min="4" max="4" width="9.4140625" bestFit="1" customWidth="1"/>
    <col min="5" max="5" width="8.47265625" bestFit="1" customWidth="1"/>
    <col min="6" max="6" width="8.33984375" bestFit="1" customWidth="1"/>
    <col min="7" max="7" width="7.3984375" bestFit="1" customWidth="1"/>
    <col min="8" max="8" width="8.33984375" bestFit="1" customWidth="1"/>
    <col min="9" max="9" width="8.47265625" bestFit="1" customWidth="1"/>
    <col min="11" max="11" width="8.33984375" bestFit="1" customWidth="1"/>
    <col min="12" max="13" width="7.3984375" bestFit="1" customWidth="1"/>
    <col min="15" max="15" width="11.296875" bestFit="1" customWidth="1"/>
    <col min="16" max="16" width="9.55078125" bestFit="1" customWidth="1"/>
    <col min="17" max="17" width="13.31640625" bestFit="1" customWidth="1"/>
  </cols>
  <sheetData>
    <row r="1" spans="2:17" x14ac:dyDescent="0.2">
      <c r="M1" s="160"/>
      <c r="N1" s="160"/>
      <c r="Q1" s="33" t="s">
        <v>120</v>
      </c>
    </row>
    <row r="2" spans="2:17" ht="29.25" x14ac:dyDescent="0.4">
      <c r="B2" s="161" t="s">
        <v>294</v>
      </c>
    </row>
    <row r="3" spans="2:17" x14ac:dyDescent="0.2">
      <c r="B3" s="162" t="s">
        <v>261</v>
      </c>
    </row>
    <row r="4" spans="2:17" x14ac:dyDescent="0.2">
      <c r="B4" s="6"/>
      <c r="C4" s="416" t="s">
        <v>295</v>
      </c>
      <c r="D4" s="416"/>
      <c r="E4" s="416"/>
      <c r="F4" s="416"/>
      <c r="G4" s="416"/>
      <c r="H4" s="416"/>
      <c r="I4" s="416"/>
      <c r="J4" s="163"/>
      <c r="K4" s="416" t="s">
        <v>296</v>
      </c>
      <c r="L4" s="416"/>
      <c r="M4" s="416"/>
      <c r="N4" s="163"/>
      <c r="O4" s="416" t="s">
        <v>297</v>
      </c>
      <c r="P4" s="416"/>
      <c r="Q4" s="416"/>
    </row>
    <row r="5" spans="2:17" ht="54.75" x14ac:dyDescent="0.2">
      <c r="B5" s="164" t="s">
        <v>298</v>
      </c>
      <c r="C5" s="165" t="s">
        <v>299</v>
      </c>
      <c r="D5" s="165" t="s">
        <v>300</v>
      </c>
      <c r="E5" s="165" t="s">
        <v>301</v>
      </c>
      <c r="F5" s="165" t="s">
        <v>302</v>
      </c>
      <c r="G5" s="166" t="s">
        <v>303</v>
      </c>
      <c r="H5" s="166" t="s">
        <v>304</v>
      </c>
      <c r="I5" s="166" t="s">
        <v>287</v>
      </c>
      <c r="J5" s="166"/>
      <c r="K5" s="166" t="s">
        <v>195</v>
      </c>
      <c r="L5" s="166" t="s">
        <v>131</v>
      </c>
      <c r="M5" s="166" t="s">
        <v>305</v>
      </c>
      <c r="N5" s="166"/>
      <c r="O5" s="166" t="s">
        <v>306</v>
      </c>
      <c r="P5" s="166" t="s">
        <v>307</v>
      </c>
      <c r="Q5" s="166" t="s">
        <v>308</v>
      </c>
    </row>
    <row r="6" spans="2:17" x14ac:dyDescent="0.2">
      <c r="B6" s="167"/>
      <c r="C6" s="168"/>
      <c r="D6" s="168"/>
      <c r="E6" s="168"/>
      <c r="F6" s="168"/>
      <c r="G6" s="168"/>
      <c r="H6" s="168"/>
      <c r="I6" s="168"/>
      <c r="J6" s="168"/>
      <c r="K6" s="168"/>
      <c r="L6" s="112"/>
      <c r="M6" s="112"/>
      <c r="N6" s="112"/>
    </row>
    <row r="7" spans="2:17" x14ac:dyDescent="0.2">
      <c r="B7" s="332" t="s">
        <v>309</v>
      </c>
      <c r="C7" s="339">
        <v>4068</v>
      </c>
      <c r="D7" s="340">
        <v>559552</v>
      </c>
      <c r="E7" s="333">
        <f>D7/C7</f>
        <v>137.5496558505408</v>
      </c>
      <c r="F7" s="338">
        <v>134001.13</v>
      </c>
      <c r="G7" s="338">
        <v>22965.34</v>
      </c>
      <c r="H7" s="334">
        <f>F7-G7</f>
        <v>111035.79000000001</v>
      </c>
      <c r="I7" s="334">
        <f>D7+H7</f>
        <v>670587.79</v>
      </c>
      <c r="J7" s="335"/>
      <c r="K7" s="338">
        <v>255734.45</v>
      </c>
      <c r="L7" s="338">
        <v>37922.33</v>
      </c>
      <c r="M7" s="338">
        <v>17673.330000000002</v>
      </c>
      <c r="N7" s="336"/>
      <c r="O7" s="337">
        <f>I7/K7</f>
        <v>2.6222035787513183</v>
      </c>
      <c r="P7" s="337">
        <f>I7/L7</f>
        <v>17.683190616188405</v>
      </c>
      <c r="Q7" s="337">
        <f>D7/M7</f>
        <v>31.660813214034931</v>
      </c>
    </row>
    <row r="8" spans="2:17" x14ac:dyDescent="0.2">
      <c r="B8" s="169" t="s">
        <v>310</v>
      </c>
      <c r="C8" s="339">
        <v>4862.6000000000004</v>
      </c>
      <c r="D8" s="340">
        <v>325198.57</v>
      </c>
      <c r="E8" s="170">
        <f t="shared" ref="E8:E16" si="0">D8/C8</f>
        <v>66.87750791757496</v>
      </c>
      <c r="F8" s="339">
        <v>51.44</v>
      </c>
      <c r="G8" s="339">
        <v>38182.25</v>
      </c>
      <c r="H8" s="171">
        <f t="shared" ref="H8:H16" si="1">F8-G8</f>
        <v>-38130.81</v>
      </c>
      <c r="I8" s="171">
        <f t="shared" ref="I8:I16" si="2">D8+H8</f>
        <v>287067.76</v>
      </c>
      <c r="J8" s="167"/>
      <c r="K8" s="339">
        <v>30980.95</v>
      </c>
      <c r="L8" s="339">
        <v>12221.48</v>
      </c>
      <c r="M8" s="339">
        <v>8364.0499999999993</v>
      </c>
      <c r="N8" s="112"/>
      <c r="O8" s="112">
        <f t="shared" ref="O8:O16" si="3">I8/K8</f>
        <v>9.2659443948620037</v>
      </c>
      <c r="P8" s="112">
        <f t="shared" ref="P8:P16" si="4">I8/L8</f>
        <v>23.488788591889037</v>
      </c>
      <c r="Q8" s="112">
        <f t="shared" ref="Q8:Q16" si="5">D8/M8</f>
        <v>38.880514822364766</v>
      </c>
    </row>
    <row r="9" spans="2:17" x14ac:dyDescent="0.2">
      <c r="B9" s="169" t="s">
        <v>311</v>
      </c>
      <c r="C9" s="339">
        <v>427.3</v>
      </c>
      <c r="D9" s="340">
        <v>312459.28000000003</v>
      </c>
      <c r="E9" s="170">
        <f t="shared" si="0"/>
        <v>731.24100163819332</v>
      </c>
      <c r="F9" s="339">
        <v>58.89</v>
      </c>
      <c r="G9" s="339">
        <v>9545.1</v>
      </c>
      <c r="H9" s="171">
        <f t="shared" si="1"/>
        <v>-9486.2100000000009</v>
      </c>
      <c r="I9" s="171">
        <f t="shared" si="2"/>
        <v>302973.07</v>
      </c>
      <c r="J9" s="168"/>
      <c r="K9" s="339">
        <v>23768.75</v>
      </c>
      <c r="L9" s="339">
        <v>7555.83</v>
      </c>
      <c r="M9" s="339">
        <v>5322.68</v>
      </c>
      <c r="N9" s="112"/>
      <c r="O9" s="112">
        <f t="shared" si="3"/>
        <v>12.74669765974231</v>
      </c>
      <c r="P9" s="112">
        <f t="shared" si="4"/>
        <v>40.09792041377321</v>
      </c>
      <c r="Q9" s="112">
        <f t="shared" si="5"/>
        <v>58.703374991545616</v>
      </c>
    </row>
    <row r="10" spans="2:17" x14ac:dyDescent="0.2">
      <c r="B10" s="169" t="s">
        <v>312</v>
      </c>
      <c r="C10" s="339">
        <v>4414.2</v>
      </c>
      <c r="D10" s="340">
        <v>122395.39</v>
      </c>
      <c r="E10" s="170">
        <f t="shared" si="0"/>
        <v>27.727649404195553</v>
      </c>
      <c r="F10" s="339">
        <v>24.35</v>
      </c>
      <c r="G10" s="339">
        <v>2510.29</v>
      </c>
      <c r="H10" s="171">
        <f t="shared" si="1"/>
        <v>-2485.94</v>
      </c>
      <c r="I10" s="171">
        <f t="shared" si="2"/>
        <v>119909.45</v>
      </c>
      <c r="J10" s="168"/>
      <c r="K10" s="339">
        <v>10390.69</v>
      </c>
      <c r="L10" s="339">
        <v>2787.52</v>
      </c>
      <c r="M10" s="339">
        <v>1999.94</v>
      </c>
      <c r="N10" s="112"/>
      <c r="O10" s="112">
        <f t="shared" si="3"/>
        <v>11.540085403375521</v>
      </c>
      <c r="P10" s="112">
        <f t="shared" si="4"/>
        <v>43.01653441051544</v>
      </c>
      <c r="Q10" s="112">
        <f t="shared" si="5"/>
        <v>61.199530985929577</v>
      </c>
    </row>
    <row r="11" spans="2:17" x14ac:dyDescent="0.2">
      <c r="B11" s="169" t="s">
        <v>313</v>
      </c>
      <c r="C11" s="339">
        <v>3248.2</v>
      </c>
      <c r="D11" s="340">
        <v>115675.05</v>
      </c>
      <c r="E11" s="170">
        <f t="shared" si="0"/>
        <v>35.612046672002961</v>
      </c>
      <c r="F11" s="339">
        <v>133.4</v>
      </c>
      <c r="G11" s="339">
        <v>0</v>
      </c>
      <c r="H11" s="171">
        <f t="shared" si="1"/>
        <v>133.4</v>
      </c>
      <c r="I11" s="171">
        <f t="shared" si="2"/>
        <v>115808.45</v>
      </c>
      <c r="J11" s="168"/>
      <c r="K11" s="339">
        <v>2653.4</v>
      </c>
      <c r="L11" s="339">
        <v>591.9</v>
      </c>
      <c r="M11" s="339">
        <v>408.8</v>
      </c>
      <c r="N11" s="112"/>
      <c r="O11" s="112">
        <f t="shared" si="3"/>
        <v>43.645304138086978</v>
      </c>
      <c r="P11" s="112">
        <f t="shared" si="4"/>
        <v>195.65543166075352</v>
      </c>
      <c r="Q11" s="112">
        <f t="shared" si="5"/>
        <v>282.96245107632092</v>
      </c>
    </row>
    <row r="12" spans="2:17" x14ac:dyDescent="0.2">
      <c r="B12" s="169" t="s">
        <v>314</v>
      </c>
      <c r="C12" s="339">
        <v>732.95</v>
      </c>
      <c r="D12" s="340">
        <v>115454.11</v>
      </c>
      <c r="E12" s="170">
        <f t="shared" si="0"/>
        <v>157.51976260317892</v>
      </c>
      <c r="F12" s="339">
        <v>116.82</v>
      </c>
      <c r="G12" s="339">
        <v>1259.1199999999999</v>
      </c>
      <c r="H12" s="171">
        <f t="shared" si="1"/>
        <v>-1142.3</v>
      </c>
      <c r="I12" s="171">
        <f t="shared" si="2"/>
        <v>114311.81</v>
      </c>
      <c r="J12" s="168"/>
      <c r="K12" s="339">
        <v>9908.66</v>
      </c>
      <c r="L12" s="339">
        <v>1445.29</v>
      </c>
      <c r="M12" s="339">
        <v>972.98</v>
      </c>
      <c r="N12" s="112"/>
      <c r="O12" s="112">
        <f t="shared" si="3"/>
        <v>11.536555901605263</v>
      </c>
      <c r="P12" s="112">
        <f t="shared" si="4"/>
        <v>79.092645766593563</v>
      </c>
      <c r="Q12" s="112">
        <f t="shared" si="5"/>
        <v>118.66031161997164</v>
      </c>
    </row>
    <row r="13" spans="2:17" x14ac:dyDescent="0.2">
      <c r="B13" s="169" t="s">
        <v>315</v>
      </c>
      <c r="C13" s="339">
        <v>7659.5</v>
      </c>
      <c r="D13" s="340">
        <v>115304.63</v>
      </c>
      <c r="E13" s="170">
        <f t="shared" si="0"/>
        <v>15.053806384228736</v>
      </c>
      <c r="F13" s="339">
        <v>202.43</v>
      </c>
      <c r="G13" s="339">
        <v>770.64</v>
      </c>
      <c r="H13" s="171">
        <f t="shared" si="1"/>
        <v>-568.21</v>
      </c>
      <c r="I13" s="171">
        <f t="shared" si="2"/>
        <v>114736.42</v>
      </c>
      <c r="J13" s="168"/>
      <c r="K13" s="339">
        <v>22408.31</v>
      </c>
      <c r="L13" s="339">
        <v>3048.96</v>
      </c>
      <c r="M13" s="339">
        <v>2045.54</v>
      </c>
      <c r="N13" s="112"/>
      <c r="O13" s="112">
        <f t="shared" si="3"/>
        <v>5.1202620813439292</v>
      </c>
      <c r="P13" s="112">
        <f t="shared" si="4"/>
        <v>37.631330027287994</v>
      </c>
      <c r="Q13" s="112">
        <f t="shared" si="5"/>
        <v>56.368797481349674</v>
      </c>
    </row>
    <row r="14" spans="2:17" x14ac:dyDescent="0.2">
      <c r="B14" s="169" t="s">
        <v>316</v>
      </c>
      <c r="C14" s="339">
        <v>2752.5</v>
      </c>
      <c r="D14" s="340">
        <v>111030.37</v>
      </c>
      <c r="E14" s="170">
        <f t="shared" si="0"/>
        <v>40.338009082652135</v>
      </c>
      <c r="F14" s="339">
        <v>1.84</v>
      </c>
      <c r="G14" s="339">
        <v>16149.61</v>
      </c>
      <c r="H14" s="171">
        <f t="shared" si="1"/>
        <v>-16147.77</v>
      </c>
      <c r="I14" s="171">
        <f t="shared" si="2"/>
        <v>94882.599999999991</v>
      </c>
      <c r="J14" s="167"/>
      <c r="K14" s="339">
        <v>11431.88</v>
      </c>
      <c r="L14" s="339">
        <v>3186.36</v>
      </c>
      <c r="M14" s="339">
        <v>2413.5100000000002</v>
      </c>
      <c r="N14" s="112"/>
      <c r="O14" s="112">
        <f t="shared" si="3"/>
        <v>8.2998247007491326</v>
      </c>
      <c r="P14" s="112">
        <f t="shared" si="4"/>
        <v>29.777740117249774</v>
      </c>
      <c r="Q14" s="112">
        <f t="shared" si="5"/>
        <v>46.003691718700146</v>
      </c>
    </row>
    <row r="15" spans="2:17" x14ac:dyDescent="0.2">
      <c r="B15" s="169" t="s">
        <v>317</v>
      </c>
      <c r="C15" s="339">
        <v>3022</v>
      </c>
      <c r="D15" s="340">
        <v>107619.67</v>
      </c>
      <c r="E15" s="170">
        <f t="shared" si="0"/>
        <v>35.612068166776972</v>
      </c>
      <c r="F15" s="339">
        <v>135</v>
      </c>
      <c r="G15" s="339">
        <v>9567.9</v>
      </c>
      <c r="H15" s="171">
        <f t="shared" si="1"/>
        <v>-9432.9</v>
      </c>
      <c r="I15" s="171">
        <f t="shared" si="2"/>
        <v>98186.77</v>
      </c>
      <c r="J15" s="168"/>
      <c r="K15" s="339">
        <v>22239.7</v>
      </c>
      <c r="L15" s="339">
        <v>3742.9</v>
      </c>
      <c r="M15" s="339">
        <v>2718.1</v>
      </c>
      <c r="N15" s="112"/>
      <c r="O15" s="112">
        <f t="shared" si="3"/>
        <v>4.4149323057415346</v>
      </c>
      <c r="P15" s="112">
        <f t="shared" si="4"/>
        <v>26.232806112907106</v>
      </c>
      <c r="Q15" s="112">
        <f t="shared" si="5"/>
        <v>39.59371251977484</v>
      </c>
    </row>
    <row r="16" spans="2:17" x14ac:dyDescent="0.2">
      <c r="B16" s="169" t="s">
        <v>318</v>
      </c>
      <c r="C16" s="339">
        <v>4978.5</v>
      </c>
      <c r="D16" s="340">
        <v>105474.29</v>
      </c>
      <c r="E16" s="170">
        <f t="shared" si="0"/>
        <v>21.185957617756351</v>
      </c>
      <c r="F16" s="339">
        <v>73.22</v>
      </c>
      <c r="G16" s="339">
        <v>5507.82</v>
      </c>
      <c r="H16" s="171">
        <f t="shared" si="1"/>
        <v>-5434.5999999999995</v>
      </c>
      <c r="I16" s="171">
        <f t="shared" si="2"/>
        <v>100039.68999999999</v>
      </c>
      <c r="J16" s="167"/>
      <c r="K16" s="339">
        <v>12188.31</v>
      </c>
      <c r="L16" s="339">
        <v>2664.68</v>
      </c>
      <c r="M16" s="339">
        <v>1871.64</v>
      </c>
      <c r="N16" s="112"/>
      <c r="O16" s="112">
        <f t="shared" si="3"/>
        <v>8.2078393148845077</v>
      </c>
      <c r="P16" s="112">
        <f t="shared" si="4"/>
        <v>37.542853175615832</v>
      </c>
      <c r="Q16" s="112">
        <f t="shared" si="5"/>
        <v>56.353940928811092</v>
      </c>
    </row>
    <row r="17" spans="2:17" x14ac:dyDescent="0.2">
      <c r="B17" s="341" t="s">
        <v>319</v>
      </c>
      <c r="C17" s="369">
        <f>MAX(C7:C16)</f>
        <v>7659.5</v>
      </c>
      <c r="D17" s="369">
        <f t="shared" ref="D17:M17" si="6">MAX(D7:D16)</f>
        <v>559552</v>
      </c>
      <c r="E17" s="369">
        <f t="shared" si="6"/>
        <v>731.24100163819332</v>
      </c>
      <c r="F17" s="369">
        <f t="shared" si="6"/>
        <v>134001.13</v>
      </c>
      <c r="G17" s="369">
        <f t="shared" si="6"/>
        <v>38182.25</v>
      </c>
      <c r="H17" s="369">
        <f t="shared" si="6"/>
        <v>111035.79000000001</v>
      </c>
      <c r="I17" s="369">
        <f t="shared" si="6"/>
        <v>670587.79</v>
      </c>
      <c r="J17" s="369"/>
      <c r="K17" s="369">
        <f t="shared" si="6"/>
        <v>255734.45</v>
      </c>
      <c r="L17" s="369">
        <f t="shared" si="6"/>
        <v>37922.33</v>
      </c>
      <c r="M17" s="369">
        <f t="shared" si="6"/>
        <v>17673.330000000002</v>
      </c>
      <c r="N17" s="342"/>
      <c r="O17" s="343">
        <f>MAX(O7:O16)</f>
        <v>43.645304138086978</v>
      </c>
      <c r="P17" s="343">
        <f>MAX(P7:P16)</f>
        <v>195.65543166075352</v>
      </c>
      <c r="Q17" s="343">
        <f>MAX(Q7:Q16)</f>
        <v>282.96245107632092</v>
      </c>
    </row>
    <row r="18" spans="2:17" x14ac:dyDescent="0.2">
      <c r="B18" s="341" t="s">
        <v>320</v>
      </c>
      <c r="C18" s="344">
        <f>QUARTILE(C7:C16,3)</f>
        <v>4750.5</v>
      </c>
      <c r="D18" s="344">
        <f t="shared" ref="D18:M18" si="7">QUARTILE(D7:D16,3)</f>
        <v>264943.3075</v>
      </c>
      <c r="E18" s="344">
        <f t="shared" si="7"/>
        <v>119.88161886729934</v>
      </c>
      <c r="F18" s="344">
        <f t="shared" si="7"/>
        <v>134.6</v>
      </c>
      <c r="G18" s="344">
        <f t="shared" si="7"/>
        <v>14504.182500000001</v>
      </c>
      <c r="H18" s="344">
        <f t="shared" si="7"/>
        <v>-711.73250000000007</v>
      </c>
      <c r="I18" s="344">
        <f t="shared" si="7"/>
        <v>245278.1825</v>
      </c>
      <c r="J18" s="344"/>
      <c r="K18" s="344">
        <f t="shared" si="7"/>
        <v>23428.639999999999</v>
      </c>
      <c r="L18" s="344">
        <f t="shared" si="7"/>
        <v>6602.5974999999999</v>
      </c>
      <c r="M18" s="344">
        <f t="shared" si="7"/>
        <v>4671.5349999999999</v>
      </c>
      <c r="N18" s="345"/>
      <c r="O18" s="345">
        <f>_xlfn.QUARTILE.EXC(O7:O16,3)</f>
        <v>11.841738467467218</v>
      </c>
      <c r="P18" s="345">
        <f>_xlfn.QUARTILE.INC(P7:P16,)</f>
        <v>17.683190616188405</v>
      </c>
      <c r="Q18" s="345">
        <f>_xlfn.QUARTILE.INC(Q7:Q16,)</f>
        <v>31.660813214034931</v>
      </c>
    </row>
    <row r="19" spans="2:17" x14ac:dyDescent="0.2">
      <c r="B19" s="341" t="s">
        <v>321</v>
      </c>
      <c r="C19" s="369">
        <f>AVERAGE(C7:C16)</f>
        <v>3616.5749999999998</v>
      </c>
      <c r="D19" s="369">
        <f t="shared" ref="D19:M19" si="8">AVERAGE(D7:D16)</f>
        <v>199016.33600000004</v>
      </c>
      <c r="E19" s="369">
        <f t="shared" si="8"/>
        <v>126.87174653371008</v>
      </c>
      <c r="F19" s="369">
        <f t="shared" si="8"/>
        <v>13479.852000000003</v>
      </c>
      <c r="G19" s="369">
        <f t="shared" si="8"/>
        <v>10645.806999999997</v>
      </c>
      <c r="H19" s="369">
        <f t="shared" si="8"/>
        <v>2834.045000000001</v>
      </c>
      <c r="I19" s="369">
        <f t="shared" si="8"/>
        <v>201850.38099999999</v>
      </c>
      <c r="J19" s="369"/>
      <c r="K19" s="369">
        <f t="shared" si="8"/>
        <v>40170.51</v>
      </c>
      <c r="L19" s="369">
        <f t="shared" si="8"/>
        <v>7516.7249999999985</v>
      </c>
      <c r="M19" s="369">
        <f t="shared" si="8"/>
        <v>4379.0570000000007</v>
      </c>
      <c r="N19" s="369"/>
      <c r="O19" s="346">
        <f>AVERAGE(O7:O16)</f>
        <v>11.739964947914249</v>
      </c>
      <c r="P19" s="346">
        <f>AVERAGE(P7:P16)</f>
        <v>53.021924089277391</v>
      </c>
      <c r="Q19" s="346">
        <f>AVERAGE(Q7:Q16)</f>
        <v>79.038713935880324</v>
      </c>
    </row>
    <row r="20" spans="2:17" x14ac:dyDescent="0.2">
      <c r="B20" s="341" t="s">
        <v>322</v>
      </c>
      <c r="C20" s="370">
        <f>MEDIAN(C7:C16)</f>
        <v>3658.1</v>
      </c>
      <c r="D20" s="370">
        <f t="shared" ref="D20:M20" si="9">MEDIAN(D7:D16)</f>
        <v>115564.58</v>
      </c>
      <c r="E20" s="370">
        <f t="shared" si="9"/>
        <v>37.975038624714557</v>
      </c>
      <c r="F20" s="370">
        <f t="shared" si="9"/>
        <v>95.02</v>
      </c>
      <c r="G20" s="370">
        <f t="shared" si="9"/>
        <v>7526.46</v>
      </c>
      <c r="H20" s="370">
        <f t="shared" si="9"/>
        <v>-3960.2699999999995</v>
      </c>
      <c r="I20" s="370">
        <f t="shared" si="9"/>
        <v>115272.435</v>
      </c>
      <c r="J20" s="344"/>
      <c r="K20" s="370">
        <f t="shared" si="9"/>
        <v>17214.005000000001</v>
      </c>
      <c r="L20" s="370">
        <f t="shared" si="9"/>
        <v>3117.66</v>
      </c>
      <c r="M20" s="370">
        <f t="shared" si="9"/>
        <v>2229.5250000000001</v>
      </c>
      <c r="N20" s="345"/>
      <c r="O20" s="346">
        <f>MEDIAN(O7:O16)</f>
        <v>8.782884547805569</v>
      </c>
      <c r="P20" s="346">
        <f>MEDIAN(P7:P16)</f>
        <v>37.587091601451917</v>
      </c>
      <c r="Q20" s="346">
        <f>MEDIAN(Q7:Q16)</f>
        <v>56.361369205080379</v>
      </c>
    </row>
    <row r="21" spans="2:17" x14ac:dyDescent="0.2">
      <c r="B21" s="341" t="s">
        <v>323</v>
      </c>
      <c r="C21" s="344">
        <f>QUARTILE(C10:C19,1)</f>
        <v>3078.55</v>
      </c>
      <c r="D21" s="344">
        <f t="shared" ref="D21:M21" si="10">QUARTILE(D10:D19,1)</f>
        <v>112098.935</v>
      </c>
      <c r="E21" s="344">
        <f t="shared" si="10"/>
        <v>29.698748721147403</v>
      </c>
      <c r="F21" s="344">
        <f t="shared" si="10"/>
        <v>84.12</v>
      </c>
      <c r="G21" s="344">
        <f t="shared" si="10"/>
        <v>1571.9124999999999</v>
      </c>
      <c r="H21" s="344">
        <f t="shared" si="10"/>
        <v>-4697.4349999999995</v>
      </c>
      <c r="I21" s="344">
        <f t="shared" si="10"/>
        <v>103607.71999999999</v>
      </c>
      <c r="J21" s="344"/>
      <c r="K21" s="344">
        <f t="shared" si="10"/>
        <v>10650.987499999999</v>
      </c>
      <c r="L21" s="344">
        <f t="shared" si="10"/>
        <v>2695.39</v>
      </c>
      <c r="M21" s="344">
        <f t="shared" si="10"/>
        <v>1903.7150000000001</v>
      </c>
      <c r="N21" s="342"/>
      <c r="O21" s="345">
        <f>QUARTILE(O7:O16,1)</f>
        <v>5.8921563897290739</v>
      </c>
      <c r="P21" s="345">
        <f>_xlfn.QUARTILE.INC(P7:P16,)</f>
        <v>17.683190616188405</v>
      </c>
      <c r="Q21" s="345">
        <f>_xlfn.QUARTILE.INC(Q7:Q16,)</f>
        <v>31.660813214034931</v>
      </c>
    </row>
    <row r="22" spans="2:17" x14ac:dyDescent="0.2">
      <c r="B22" s="347" t="s">
        <v>324</v>
      </c>
      <c r="C22" s="371">
        <f>MIN(C7:C16)</f>
        <v>427.3</v>
      </c>
      <c r="D22" s="371">
        <f t="shared" ref="D22:L22" si="11">MIN(D7:D16)</f>
        <v>105474.29</v>
      </c>
      <c r="E22" s="371">
        <f t="shared" si="11"/>
        <v>15.053806384228736</v>
      </c>
      <c r="F22" s="371">
        <f t="shared" si="11"/>
        <v>1.84</v>
      </c>
      <c r="G22" s="371">
        <f t="shared" si="11"/>
        <v>0</v>
      </c>
      <c r="H22" s="371">
        <f t="shared" si="11"/>
        <v>-38130.81</v>
      </c>
      <c r="I22" s="371">
        <f t="shared" si="11"/>
        <v>94882.599999999991</v>
      </c>
      <c r="J22" s="371"/>
      <c r="K22" s="371">
        <f t="shared" si="11"/>
        <v>2653.4</v>
      </c>
      <c r="L22" s="371">
        <f t="shared" si="11"/>
        <v>591.9</v>
      </c>
      <c r="M22" s="371">
        <f>MIN(M7:M16)</f>
        <v>408.8</v>
      </c>
      <c r="N22" s="348"/>
      <c r="O22" s="343">
        <f>MIN(O7:O16)</f>
        <v>2.6222035787513183</v>
      </c>
      <c r="P22" s="343">
        <f>MIN(P7:P16)</f>
        <v>17.683190616188405</v>
      </c>
      <c r="Q22" s="343">
        <f>MIN(Q7:Q16)</f>
        <v>31.660813214034931</v>
      </c>
    </row>
    <row r="23" spans="2:17" x14ac:dyDescent="0.2">
      <c r="B23" s="44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O23" s="173"/>
      <c r="P23" s="173"/>
      <c r="Q23" s="173"/>
    </row>
    <row r="24" spans="2:17" x14ac:dyDescent="0.2">
      <c r="B24" s="4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</row>
    <row r="25" spans="2:17" x14ac:dyDescent="0.2">
      <c r="B25" s="373" t="s">
        <v>321</v>
      </c>
      <c r="C25" s="374">
        <f>VLOOKUP($B$25,$B$17:$Q$22,C24,)</f>
        <v>3616.5749999999998</v>
      </c>
      <c r="D25" s="374">
        <f t="shared" ref="D25:Q25" si="12">VLOOKUP($B$25,$B$17:$Q$22,D24,)</f>
        <v>199016.33600000004</v>
      </c>
      <c r="E25" s="374">
        <f t="shared" si="12"/>
        <v>126.87174653371008</v>
      </c>
      <c r="F25" s="374">
        <f t="shared" si="12"/>
        <v>13479.852000000003</v>
      </c>
      <c r="G25" s="374">
        <f t="shared" si="12"/>
        <v>10645.806999999997</v>
      </c>
      <c r="H25" s="374">
        <f t="shared" si="12"/>
        <v>2834.045000000001</v>
      </c>
      <c r="I25" s="374">
        <f t="shared" si="12"/>
        <v>201850.38099999999</v>
      </c>
      <c r="J25" s="374">
        <f t="shared" si="12"/>
        <v>0</v>
      </c>
      <c r="K25" s="374">
        <f t="shared" si="12"/>
        <v>40170.51</v>
      </c>
      <c r="L25" s="374">
        <f t="shared" si="12"/>
        <v>7516.7249999999985</v>
      </c>
      <c r="M25" s="374">
        <f t="shared" si="12"/>
        <v>4379.0570000000007</v>
      </c>
      <c r="N25" s="374">
        <f t="shared" si="12"/>
        <v>0</v>
      </c>
      <c r="O25" s="374">
        <f>VLOOKUP($B$25,$B$17:$Q$22,O24,)</f>
        <v>11.739964947914249</v>
      </c>
      <c r="P25" s="374">
        <f t="shared" si="12"/>
        <v>53.021924089277391</v>
      </c>
      <c r="Q25" s="374">
        <f t="shared" si="12"/>
        <v>79.038713935880324</v>
      </c>
    </row>
    <row r="26" spans="2:17" x14ac:dyDescent="0.2">
      <c r="B26" s="44"/>
      <c r="O26" s="173"/>
      <c r="P26" s="173"/>
      <c r="Q26" s="173"/>
    </row>
    <row r="27" spans="2:17" x14ac:dyDescent="0.2">
      <c r="B27" s="44"/>
      <c r="O27" s="173"/>
      <c r="P27" s="173"/>
      <c r="Q27" s="173"/>
    </row>
    <row r="28" spans="2:17" x14ac:dyDescent="0.2">
      <c r="B28" s="44"/>
      <c r="O28" s="173"/>
      <c r="P28" s="173"/>
      <c r="Q28" s="173"/>
    </row>
    <row r="29" spans="2:17" x14ac:dyDescent="0.2">
      <c r="B29" s="6" t="s">
        <v>325</v>
      </c>
      <c r="C29" s="416"/>
      <c r="D29" s="416"/>
      <c r="E29" s="416"/>
      <c r="F29" s="416"/>
      <c r="G29" s="416"/>
      <c r="H29" s="416"/>
      <c r="I29" s="416"/>
      <c r="J29" s="163"/>
      <c r="K29" s="416"/>
      <c r="L29" s="416"/>
      <c r="M29" s="416"/>
      <c r="N29" s="163"/>
      <c r="O29" s="174" t="s">
        <v>326</v>
      </c>
      <c r="P29" s="174" t="s">
        <v>307</v>
      </c>
      <c r="Q29" s="174" t="s">
        <v>308</v>
      </c>
    </row>
    <row r="30" spans="2:17" x14ac:dyDescent="0.2">
      <c r="B30" s="175" t="s">
        <v>327</v>
      </c>
      <c r="O30" s="176">
        <f>K7*O25</f>
        <v>3002313.4789741291</v>
      </c>
      <c r="P30" s="176">
        <f>L7*P25</f>
        <v>2010714.9025485269</v>
      </c>
      <c r="Q30" s="176">
        <f>Q25*(M7)</f>
        <v>1396877.2741644119</v>
      </c>
    </row>
    <row r="31" spans="2:17" x14ac:dyDescent="0.2">
      <c r="B31" s="175" t="s">
        <v>304</v>
      </c>
      <c r="D31" s="340"/>
      <c r="O31" s="176">
        <f>H7</f>
        <v>111035.79000000001</v>
      </c>
      <c r="P31" s="176">
        <f>O31</f>
        <v>111035.79000000001</v>
      </c>
      <c r="Q31" s="176">
        <f>P31</f>
        <v>111035.79000000001</v>
      </c>
    </row>
    <row r="32" spans="2:17" x14ac:dyDescent="0.2">
      <c r="B32" s="175" t="s">
        <v>328</v>
      </c>
      <c r="O32" s="176">
        <f>O30-O31</f>
        <v>2891277.688974129</v>
      </c>
      <c r="P32" s="176">
        <f>P30-P31</f>
        <v>1899679.1125485268</v>
      </c>
      <c r="Q32" s="176">
        <f>Q19*M7</f>
        <v>1396877.2741644119</v>
      </c>
    </row>
    <row r="33" spans="2:17" x14ac:dyDescent="0.2">
      <c r="B33" s="175" t="s">
        <v>329</v>
      </c>
      <c r="O33" s="112">
        <f>E7</f>
        <v>137.5496558505408</v>
      </c>
      <c r="P33" s="112">
        <f>O33</f>
        <v>137.5496558505408</v>
      </c>
      <c r="Q33" s="112">
        <f>P33</f>
        <v>137.5496558505408</v>
      </c>
    </row>
    <row r="34" spans="2:17" x14ac:dyDescent="0.2">
      <c r="B34" s="172" t="s">
        <v>330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7">
        <f>O32/O33</f>
        <v>21019.883118542613</v>
      </c>
      <c r="P34" s="177">
        <f>P32/P33</f>
        <v>13810.860527435176</v>
      </c>
      <c r="Q34" s="177">
        <f>Q32/Q33</f>
        <v>10155.439979306351</v>
      </c>
    </row>
  </sheetData>
  <mergeCells count="5">
    <mergeCell ref="C4:I4"/>
    <mergeCell ref="K4:M4"/>
    <mergeCell ref="O4:Q4"/>
    <mergeCell ref="C29:I29"/>
    <mergeCell ref="K29:M29"/>
  </mergeCells>
  <dataValidations count="1">
    <dataValidation type="list" allowBlank="1" showInputMessage="1" showErrorMessage="1" sqref="B25" xr:uid="{53E1352E-448B-4BB5-A129-31C33687705B}">
      <formula1>$B$17:$B$22</formula1>
    </dataValidation>
  </dataValidations>
  <hyperlinks>
    <hyperlink ref="Q1" location="Index!A1" display="Index!A1" xr:uid="{61194F4F-3E18-492F-B1AB-7BD7FBAB9A8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E407-5621-4915-A87D-782AFDD504E3}">
  <sheetPr codeName="Sheet12">
    <tabColor theme="3" tint="0.749992370372631"/>
  </sheetPr>
  <dimension ref="A1"/>
  <sheetViews>
    <sheetView topLeftCell="A2" workbookViewId="0">
      <selection activeCell="H30" sqref="H30"/>
    </sheetView>
  </sheetViews>
  <sheetFormatPr defaultRowHeight="1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16DC-BBDC-4A78-B300-E1CDCE46F799}">
  <sheetPr codeName="Sheet13"/>
  <dimension ref="B3:J30"/>
  <sheetViews>
    <sheetView workbookViewId="0">
      <selection activeCell="B1" sqref="B1"/>
    </sheetView>
  </sheetViews>
  <sheetFormatPr defaultRowHeight="15" x14ac:dyDescent="0.2"/>
  <cols>
    <col min="2" max="2" width="69.4140625" bestFit="1" customWidth="1"/>
    <col min="3" max="7" width="10.4921875" bestFit="1" customWidth="1"/>
  </cols>
  <sheetData>
    <row r="3" spans="2:10" ht="21" x14ac:dyDescent="0.3">
      <c r="B3" s="2" t="s">
        <v>0</v>
      </c>
      <c r="C3" s="1"/>
      <c r="D3" s="1"/>
      <c r="E3" s="1"/>
      <c r="F3" s="1"/>
      <c r="G3" s="1"/>
      <c r="H3" s="1"/>
      <c r="I3" s="1"/>
      <c r="J3" s="1"/>
    </row>
    <row r="4" spans="2:10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1"/>
      <c r="I4" s="1"/>
      <c r="J4" s="1"/>
    </row>
    <row r="5" spans="2:10" x14ac:dyDescent="0.2">
      <c r="B5" s="1" t="s">
        <v>7</v>
      </c>
      <c r="C5" s="4">
        <v>135979.03</v>
      </c>
      <c r="D5" s="4">
        <v>156521.23000000001</v>
      </c>
      <c r="E5" s="4">
        <v>183340.7</v>
      </c>
      <c r="F5" s="4">
        <v>221112.91</v>
      </c>
      <c r="G5" s="4">
        <v>255734.45</v>
      </c>
      <c r="H5" s="1"/>
      <c r="I5" s="1"/>
      <c r="J5" s="1"/>
    </row>
    <row r="6" spans="2:10" x14ac:dyDescent="0.2">
      <c r="B6" s="1" t="s">
        <v>8</v>
      </c>
      <c r="C6" s="4">
        <v>3429.35</v>
      </c>
      <c r="D6" s="4">
        <v>2267.08</v>
      </c>
      <c r="E6" s="4">
        <v>2929.17</v>
      </c>
      <c r="F6" s="4">
        <v>4158.03</v>
      </c>
      <c r="G6" s="4">
        <v>4124.82</v>
      </c>
      <c r="H6" s="1"/>
      <c r="I6" s="1"/>
      <c r="J6" s="1"/>
    </row>
    <row r="7" spans="2:10" x14ac:dyDescent="0.2">
      <c r="B7" s="3" t="s">
        <v>9</v>
      </c>
      <c r="C7" s="4">
        <v>139408.38</v>
      </c>
      <c r="D7" s="4">
        <v>158788.31</v>
      </c>
      <c r="E7" s="4">
        <v>186269.87</v>
      </c>
      <c r="F7" s="4">
        <v>225270.94</v>
      </c>
      <c r="G7" s="4">
        <v>259859.27</v>
      </c>
      <c r="H7" s="1"/>
      <c r="I7" s="1"/>
      <c r="J7" s="1"/>
    </row>
    <row r="8" spans="2:10" x14ac:dyDescent="0.2">
      <c r="B8" s="1" t="s">
        <v>10</v>
      </c>
      <c r="C8" s="1"/>
      <c r="D8" s="1"/>
      <c r="E8" s="1"/>
      <c r="F8" s="1"/>
      <c r="G8" s="1"/>
      <c r="H8" s="1"/>
      <c r="I8" s="1"/>
      <c r="J8" s="1"/>
    </row>
    <row r="9" spans="2:10" x14ac:dyDescent="0.2">
      <c r="B9" s="1" t="s">
        <v>11</v>
      </c>
      <c r="C9" s="4">
        <v>15562.05</v>
      </c>
      <c r="D9" s="4">
        <v>17100.84</v>
      </c>
      <c r="E9" s="4">
        <v>18995.11</v>
      </c>
      <c r="F9" s="4">
        <v>19442.25</v>
      </c>
      <c r="G9" s="4">
        <v>27655.02</v>
      </c>
      <c r="H9" s="1"/>
      <c r="I9" s="1"/>
      <c r="J9" s="1"/>
    </row>
    <row r="10" spans="2:10" x14ac:dyDescent="0.2">
      <c r="B10" s="1" t="s">
        <v>12</v>
      </c>
      <c r="C10" s="4">
        <v>24558.23</v>
      </c>
      <c r="D10" s="4">
        <v>33506.21</v>
      </c>
      <c r="E10" s="4">
        <v>43237.35</v>
      </c>
      <c r="F10" s="4">
        <v>54813.97</v>
      </c>
      <c r="G10" s="4">
        <v>63526.44</v>
      </c>
      <c r="H10" s="1"/>
      <c r="I10" s="1"/>
      <c r="J10" s="1"/>
    </row>
    <row r="11" spans="2:10" x14ac:dyDescent="0.2">
      <c r="B11" s="1" t="s">
        <v>13</v>
      </c>
      <c r="C11" s="4">
        <v>1213.58</v>
      </c>
      <c r="D11" s="4">
        <v>1069.5</v>
      </c>
      <c r="E11" s="4">
        <v>1052.8599999999999</v>
      </c>
      <c r="F11" s="4">
        <v>1063.77</v>
      </c>
      <c r="G11" s="4">
        <v>1402.14</v>
      </c>
      <c r="H11" s="1"/>
      <c r="I11" s="1"/>
      <c r="J11" s="1"/>
    </row>
    <row r="12" spans="2:10" x14ac:dyDescent="0.2">
      <c r="B12" s="1" t="s">
        <v>14</v>
      </c>
      <c r="C12" s="4">
        <v>2032.89</v>
      </c>
      <c r="D12" s="4">
        <v>3091.07</v>
      </c>
      <c r="E12" s="4">
        <v>4814.8900000000003</v>
      </c>
      <c r="F12" s="4">
        <v>4432.0200000000004</v>
      </c>
      <c r="G12" s="4">
        <v>4393.3900000000003</v>
      </c>
      <c r="H12" s="1"/>
      <c r="I12" s="1"/>
      <c r="J12" s="1"/>
    </row>
    <row r="13" spans="2:10" x14ac:dyDescent="0.2">
      <c r="B13" s="1" t="s">
        <v>15</v>
      </c>
      <c r="C13" s="4">
        <v>22316.18</v>
      </c>
      <c r="D13" s="4">
        <v>24772.33</v>
      </c>
      <c r="E13" s="4">
        <v>25624.45</v>
      </c>
      <c r="F13" s="4">
        <v>35054.35</v>
      </c>
      <c r="G13" s="4">
        <v>40570.92</v>
      </c>
      <c r="H13" s="1"/>
      <c r="I13" s="1"/>
      <c r="J13" s="1"/>
    </row>
    <row r="14" spans="2:10" x14ac:dyDescent="0.2">
      <c r="B14" s="1" t="s">
        <v>16</v>
      </c>
      <c r="C14" s="1">
        <v>343.37</v>
      </c>
      <c r="D14" s="4">
        <v>-2076.6</v>
      </c>
      <c r="E14" s="4">
        <v>-3156.64</v>
      </c>
      <c r="F14" s="4">
        <v>1021.07</v>
      </c>
      <c r="G14" s="1">
        <v>-410.79</v>
      </c>
      <c r="H14" s="1"/>
      <c r="I14" s="1"/>
      <c r="J14" s="1"/>
    </row>
    <row r="15" spans="2:10" x14ac:dyDescent="0.2">
      <c r="B15" s="1" t="s">
        <v>17</v>
      </c>
      <c r="C15" s="4">
        <v>12983.56</v>
      </c>
      <c r="D15" s="4">
        <v>16322.62</v>
      </c>
      <c r="E15" s="4">
        <v>20020.810000000001</v>
      </c>
      <c r="F15" s="4">
        <v>24486.49</v>
      </c>
      <c r="G15" s="4">
        <v>27533.55</v>
      </c>
      <c r="H15" s="1"/>
      <c r="I15" s="1"/>
      <c r="J15" s="1"/>
    </row>
    <row r="16" spans="2:10" x14ac:dyDescent="0.2">
      <c r="B16" s="1" t="s">
        <v>18</v>
      </c>
      <c r="C16" s="4">
        <v>7691.04</v>
      </c>
      <c r="D16" s="4">
        <v>5952.54</v>
      </c>
      <c r="E16" s="4">
        <v>6026.44</v>
      </c>
      <c r="F16" s="4">
        <v>5714.9</v>
      </c>
      <c r="G16" s="4">
        <v>6302.23</v>
      </c>
      <c r="H16" s="1"/>
      <c r="I16" s="1"/>
      <c r="J16" s="1"/>
    </row>
    <row r="17" spans="2:10" x14ac:dyDescent="0.2">
      <c r="B17" s="3" t="s">
        <v>19</v>
      </c>
      <c r="C17" s="4">
        <v>86700.9</v>
      </c>
      <c r="D17" s="4">
        <v>99738.51</v>
      </c>
      <c r="E17" s="4">
        <v>116615.27</v>
      </c>
      <c r="F17" s="4">
        <v>146028.82</v>
      </c>
      <c r="G17" s="4">
        <v>170972.9</v>
      </c>
      <c r="H17" s="1"/>
      <c r="I17" s="1"/>
      <c r="J17" s="1"/>
    </row>
    <row r="18" spans="2:10" x14ac:dyDescent="0.2">
      <c r="B18" s="1" t="s">
        <v>20</v>
      </c>
      <c r="C18" s="4">
        <v>24750.54</v>
      </c>
      <c r="D18" s="4">
        <v>29733.53</v>
      </c>
      <c r="E18" s="4">
        <v>37214.11</v>
      </c>
      <c r="F18" s="4">
        <v>41171.019999999997</v>
      </c>
      <c r="G18" s="4">
        <v>46768.68</v>
      </c>
    </row>
    <row r="19" spans="2:10" x14ac:dyDescent="0.2">
      <c r="B19" s="1" t="s">
        <v>21</v>
      </c>
      <c r="C19" s="4">
        <v>8903.49</v>
      </c>
      <c r="D19" s="4">
        <v>8831.89</v>
      </c>
      <c r="E19" s="4">
        <v>8758.0400000000009</v>
      </c>
      <c r="F19" s="4">
        <v>10419.42</v>
      </c>
      <c r="G19" s="4">
        <v>11558.13</v>
      </c>
    </row>
    <row r="20" spans="2:10" x14ac:dyDescent="0.2">
      <c r="B20" s="1" t="s">
        <v>22</v>
      </c>
      <c r="C20" s="4">
        <v>3913.44</v>
      </c>
      <c r="D20" s="4">
        <v>3125.7</v>
      </c>
      <c r="E20" s="4">
        <v>3207.16</v>
      </c>
      <c r="F20" s="4">
        <v>3545.85</v>
      </c>
      <c r="G20" s="4">
        <v>3334.37</v>
      </c>
    </row>
    <row r="21" spans="2:10" x14ac:dyDescent="0.2">
      <c r="B21" s="1" t="s">
        <v>23</v>
      </c>
      <c r="C21" s="4">
        <v>2904.21</v>
      </c>
      <c r="D21" s="4">
        <v>2947.95</v>
      </c>
      <c r="E21" s="4">
        <v>3502.25</v>
      </c>
      <c r="F21" s="4">
        <v>3682.33</v>
      </c>
      <c r="G21" s="4">
        <v>4121.18</v>
      </c>
    </row>
    <row r="22" spans="2:10" x14ac:dyDescent="0.2">
      <c r="B22" s="3" t="s">
        <v>24</v>
      </c>
      <c r="C22" s="4">
        <v>127172.58</v>
      </c>
      <c r="D22" s="4">
        <v>144377.57999999999</v>
      </c>
      <c r="E22" s="4">
        <v>169296.83</v>
      </c>
      <c r="F22" s="4">
        <v>204847.44</v>
      </c>
      <c r="G22" s="4">
        <v>236755.26</v>
      </c>
    </row>
    <row r="23" spans="2:10" x14ac:dyDescent="0.2">
      <c r="B23" s="3" t="s">
        <v>25</v>
      </c>
      <c r="C23" s="4">
        <v>12235.8</v>
      </c>
      <c r="D23" s="4">
        <v>14410.73</v>
      </c>
      <c r="E23" s="4">
        <v>16973.04</v>
      </c>
      <c r="F23" s="4">
        <v>20423.5</v>
      </c>
      <c r="G23" s="4">
        <v>23104.01</v>
      </c>
    </row>
    <row r="24" spans="2:10" x14ac:dyDescent="0.2">
      <c r="B24" s="1" t="s">
        <v>26</v>
      </c>
      <c r="C24" s="4">
        <v>-3693.78</v>
      </c>
      <c r="D24" s="1">
        <v>119.7</v>
      </c>
      <c r="E24" s="1">
        <v>91.97</v>
      </c>
      <c r="F24" s="1">
        <v>114.44</v>
      </c>
      <c r="G24" s="1">
        <v>474.78</v>
      </c>
    </row>
    <row r="25" spans="2:10" x14ac:dyDescent="0.2">
      <c r="B25" s="3" t="s">
        <v>27</v>
      </c>
      <c r="C25" s="4">
        <v>8541.49</v>
      </c>
      <c r="D25" s="4">
        <v>14410.73</v>
      </c>
      <c r="E25" s="4">
        <v>17109.03</v>
      </c>
      <c r="F25" s="4">
        <v>20517.11</v>
      </c>
      <c r="G25" s="4">
        <v>23578.79</v>
      </c>
    </row>
    <row r="26" spans="2:10" x14ac:dyDescent="0.2">
      <c r="B26" s="1" t="s">
        <v>28</v>
      </c>
      <c r="C26" s="4">
        <v>4010.82</v>
      </c>
      <c r="D26" s="4">
        <v>4216.6099999999997</v>
      </c>
      <c r="E26" s="4">
        <v>4484.16</v>
      </c>
      <c r="F26" s="4">
        <v>4947.3900000000003</v>
      </c>
      <c r="G26" s="4">
        <v>5891.4</v>
      </c>
    </row>
    <row r="27" spans="2:10" x14ac:dyDescent="0.2">
      <c r="B27" s="3" t="s">
        <v>29</v>
      </c>
      <c r="C27" s="4">
        <v>8224.98</v>
      </c>
      <c r="D27" s="4">
        <v>10194.120000000001</v>
      </c>
      <c r="E27" s="4">
        <v>12624.87</v>
      </c>
      <c r="F27" s="4">
        <v>15569.72</v>
      </c>
      <c r="G27" s="4">
        <v>17687.39</v>
      </c>
    </row>
    <row r="28" spans="2:10" x14ac:dyDescent="0.2">
      <c r="B28" s="1" t="s">
        <v>30</v>
      </c>
      <c r="C28" s="1">
        <v>14.4</v>
      </c>
      <c r="D28" s="1">
        <v>128.19</v>
      </c>
      <c r="E28" s="1">
        <v>-94.25</v>
      </c>
      <c r="F28" s="1">
        <v>-22.62</v>
      </c>
      <c r="G28" s="1">
        <v>-14.06</v>
      </c>
    </row>
    <row r="29" spans="2:10" x14ac:dyDescent="0.2">
      <c r="B29" s="3" t="s">
        <v>31</v>
      </c>
      <c r="C29" s="4">
        <v>4683.3599999999997</v>
      </c>
      <c r="D29" s="4">
        <v>10419.24</v>
      </c>
      <c r="E29" s="4">
        <v>12530.62</v>
      </c>
      <c r="F29" s="4">
        <v>15547.1</v>
      </c>
      <c r="G29" s="4">
        <v>17673.330000000002</v>
      </c>
    </row>
    <row r="30" spans="2:10" x14ac:dyDescent="0.2">
      <c r="B30" s="1" t="s">
        <v>32</v>
      </c>
      <c r="C30" s="1">
        <v>2528</v>
      </c>
      <c r="D30" s="4">
        <v>3091.11</v>
      </c>
      <c r="E30" s="4">
        <v>3373.2</v>
      </c>
      <c r="F30" s="4">
        <v>4217</v>
      </c>
      <c r="G30" s="4">
        <v>3850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22DC-A61A-4471-88CF-FDC2EEADFD42}">
  <sheetPr codeName="Sheet14"/>
  <dimension ref="A2:N67"/>
  <sheetViews>
    <sheetView workbookViewId="0">
      <selection activeCell="B28" sqref="B28"/>
    </sheetView>
  </sheetViews>
  <sheetFormatPr defaultRowHeight="15" x14ac:dyDescent="0.2"/>
  <cols>
    <col min="1" max="1" width="57.7109375" bestFit="1" customWidth="1"/>
    <col min="2" max="2" width="20.84765625" bestFit="1" customWidth="1"/>
    <col min="3" max="6" width="10.4921875" bestFit="1" customWidth="1"/>
  </cols>
  <sheetData>
    <row r="2" spans="1:14" ht="24.75" x14ac:dyDescent="0.35">
      <c r="A2" s="9" t="s">
        <v>33</v>
      </c>
      <c r="B2" s="10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4.75" x14ac:dyDescent="0.35">
      <c r="A3" s="8"/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2" t="s">
        <v>1</v>
      </c>
      <c r="B4" s="12" t="s">
        <v>34</v>
      </c>
      <c r="C4" s="12" t="s">
        <v>3</v>
      </c>
      <c r="D4" s="12" t="s">
        <v>4</v>
      </c>
      <c r="E4" s="12" t="s">
        <v>5</v>
      </c>
      <c r="F4" s="12" t="s">
        <v>6</v>
      </c>
      <c r="G4" s="1"/>
      <c r="H4" s="1"/>
      <c r="I4" s="1"/>
      <c r="J4" s="1"/>
      <c r="K4" s="1"/>
      <c r="L4" s="1"/>
      <c r="M4" s="1"/>
      <c r="N4" s="1"/>
    </row>
    <row r="5" spans="1:14" x14ac:dyDescent="0.2">
      <c r="A5" s="12" t="s">
        <v>35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12" t="s">
        <v>36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7" t="s">
        <v>37</v>
      </c>
      <c r="B7" s="11">
        <v>11386.29</v>
      </c>
      <c r="C7" s="11">
        <v>10577.98</v>
      </c>
      <c r="D7" s="13">
        <v>11336.28</v>
      </c>
      <c r="E7" s="11">
        <v>13297.64</v>
      </c>
      <c r="F7" s="11">
        <v>14128.56</v>
      </c>
      <c r="G7" s="1"/>
      <c r="H7" s="1"/>
      <c r="I7" s="1"/>
      <c r="J7" s="15"/>
      <c r="K7" s="15"/>
      <c r="L7" s="1"/>
      <c r="M7" s="1"/>
      <c r="N7" s="1"/>
    </row>
    <row r="8" spans="1:14" x14ac:dyDescent="0.2">
      <c r="A8" s="7" t="s">
        <v>38</v>
      </c>
      <c r="B8" s="7">
        <v>388.37</v>
      </c>
      <c r="C8" s="11">
        <v>1170.32</v>
      </c>
      <c r="D8" s="13">
        <v>2949.09</v>
      </c>
      <c r="E8" s="11">
        <v>2897.04</v>
      </c>
      <c r="F8" s="11">
        <v>2390.86</v>
      </c>
      <c r="G8" s="1"/>
      <c r="H8" s="1"/>
      <c r="I8" s="1"/>
      <c r="J8" s="16"/>
      <c r="K8" s="16"/>
      <c r="L8" s="1"/>
      <c r="M8" s="1"/>
      <c r="N8" s="1"/>
    </row>
    <row r="9" spans="1:14" x14ac:dyDescent="0.2">
      <c r="A9" s="7" t="s">
        <v>39</v>
      </c>
      <c r="B9" s="11">
        <v>3646.78</v>
      </c>
      <c r="C9" s="11">
        <v>3962.98</v>
      </c>
      <c r="D9" s="13">
        <v>3360.22</v>
      </c>
      <c r="E9" s="11">
        <v>1936.44</v>
      </c>
      <c r="F9" s="11">
        <v>1157.33</v>
      </c>
      <c r="G9" s="1"/>
      <c r="H9" s="1"/>
      <c r="I9" s="1"/>
      <c r="J9" s="16"/>
      <c r="K9" s="16"/>
      <c r="L9" s="1"/>
      <c r="M9" s="1"/>
      <c r="N9" s="1"/>
    </row>
    <row r="10" spans="1:14" x14ac:dyDescent="0.2">
      <c r="A10" s="7" t="s">
        <v>40</v>
      </c>
      <c r="B10" s="11">
        <v>0</v>
      </c>
      <c r="C10" s="11">
        <v>0</v>
      </c>
      <c r="D10" s="11">
        <v>0</v>
      </c>
      <c r="E10" s="7">
        <v>254.93</v>
      </c>
      <c r="F10" s="7">
        <v>501.3</v>
      </c>
      <c r="G10" s="1"/>
      <c r="H10" s="1"/>
      <c r="I10" s="1"/>
      <c r="J10" s="16"/>
      <c r="K10" s="17"/>
      <c r="L10" s="1"/>
      <c r="M10" s="1"/>
      <c r="N10" s="1"/>
    </row>
    <row r="11" spans="1:14" x14ac:dyDescent="0.2">
      <c r="A11" s="7" t="s">
        <v>41</v>
      </c>
      <c r="B11" s="11">
        <v>8066.96</v>
      </c>
      <c r="C11" s="11">
        <v>7685.17</v>
      </c>
      <c r="D11" s="13">
        <v>7798.65</v>
      </c>
      <c r="E11" s="11">
        <v>7800.88</v>
      </c>
      <c r="F11" s="11">
        <v>8348.48</v>
      </c>
      <c r="G11" s="1"/>
      <c r="H11" s="1"/>
      <c r="I11" s="1"/>
      <c r="J11" s="16"/>
      <c r="K11" s="17"/>
      <c r="L11" s="1"/>
      <c r="M11" s="1"/>
      <c r="N11" s="1"/>
    </row>
    <row r="12" spans="1:14" x14ac:dyDescent="0.2">
      <c r="A12" s="7" t="s">
        <v>42</v>
      </c>
      <c r="B12" s="11">
        <v>19197.759999999998</v>
      </c>
      <c r="C12" s="11">
        <v>18729.37</v>
      </c>
      <c r="D12" s="13">
        <v>18007.98</v>
      </c>
      <c r="E12" s="11">
        <v>17384.52</v>
      </c>
      <c r="F12" s="11">
        <v>17050.759999999998</v>
      </c>
      <c r="G12" s="1"/>
      <c r="H12" s="1"/>
      <c r="I12" s="1"/>
      <c r="J12" s="16"/>
      <c r="K12" s="17"/>
      <c r="L12" s="1"/>
      <c r="M12" s="1"/>
      <c r="N12" s="1"/>
    </row>
    <row r="13" spans="1:14" x14ac:dyDescent="0.2">
      <c r="A13" s="7" t="s">
        <v>43</v>
      </c>
      <c r="B13" s="7">
        <v>112.02</v>
      </c>
      <c r="C13" s="7">
        <v>79.23</v>
      </c>
      <c r="D13" s="14">
        <v>116.48</v>
      </c>
      <c r="E13" s="7">
        <v>147.97</v>
      </c>
      <c r="F13" s="7">
        <v>197.82</v>
      </c>
      <c r="G13" s="1"/>
      <c r="H13" s="1"/>
      <c r="I13" s="1"/>
      <c r="J13" s="16"/>
      <c r="K13" s="17"/>
      <c r="L13" s="1"/>
      <c r="M13" s="1"/>
      <c r="N13" s="1"/>
    </row>
    <row r="14" spans="1:14" x14ac:dyDescent="0.2">
      <c r="A14" s="7" t="s">
        <v>44</v>
      </c>
      <c r="B14" s="11">
        <v>2021.53</v>
      </c>
      <c r="C14" s="11">
        <v>1989.51</v>
      </c>
      <c r="D14" s="13">
        <v>2137.87</v>
      </c>
      <c r="E14" s="11">
        <v>2289.41</v>
      </c>
      <c r="F14" s="11">
        <v>2869.02</v>
      </c>
      <c r="G14" s="1"/>
      <c r="H14" s="1"/>
      <c r="I14" s="1"/>
      <c r="J14" s="16"/>
      <c r="K14" s="17"/>
      <c r="L14" s="1"/>
      <c r="M14" s="1"/>
      <c r="N14" s="1"/>
    </row>
    <row r="15" spans="1:14" x14ac:dyDescent="0.2">
      <c r="A15" s="7" t="s">
        <v>45</v>
      </c>
      <c r="B15" s="11">
        <v>2670.26</v>
      </c>
      <c r="C15" s="11">
        <v>2521.16</v>
      </c>
      <c r="D15" s="13">
        <v>1304.8599999999999</v>
      </c>
      <c r="E15" s="11">
        <v>1264.25</v>
      </c>
      <c r="F15" s="11">
        <v>2318.42</v>
      </c>
      <c r="G15" s="1"/>
      <c r="H15" s="1"/>
      <c r="I15" s="1"/>
      <c r="J15" s="16"/>
      <c r="K15" s="16"/>
      <c r="L15" s="1"/>
      <c r="M15" s="1"/>
      <c r="N15" s="1"/>
    </row>
    <row r="16" spans="1:14" x14ac:dyDescent="0.2">
      <c r="A16" s="7" t="s">
        <v>46</v>
      </c>
      <c r="B16" s="11">
        <v>5945.14</v>
      </c>
      <c r="C16" s="11">
        <v>7074.44</v>
      </c>
      <c r="D16" s="13">
        <v>7920.03</v>
      </c>
      <c r="E16" s="11">
        <v>9425.94</v>
      </c>
      <c r="F16" s="11">
        <v>9126.23</v>
      </c>
      <c r="G16" s="1"/>
      <c r="H16" s="1"/>
      <c r="I16" s="1"/>
      <c r="J16" s="16"/>
      <c r="K16" s="17"/>
      <c r="L16" s="1"/>
      <c r="M16" s="1"/>
      <c r="N16" s="1"/>
    </row>
    <row r="17" spans="1:11" x14ac:dyDescent="0.2">
      <c r="A17" s="7" t="s">
        <v>47</v>
      </c>
      <c r="B17" s="11">
        <v>52631.67</v>
      </c>
      <c r="C17" s="11">
        <v>46736.84</v>
      </c>
      <c r="D17" s="13">
        <v>40920.92</v>
      </c>
      <c r="E17" s="11">
        <v>52154.76</v>
      </c>
      <c r="F17" s="11">
        <v>62847.35</v>
      </c>
      <c r="G17" s="1"/>
      <c r="H17" s="1"/>
      <c r="I17" s="1"/>
      <c r="J17" s="16"/>
      <c r="K17" s="17"/>
    </row>
    <row r="18" spans="1:11" x14ac:dyDescent="0.2">
      <c r="A18" s="7" t="s">
        <v>48</v>
      </c>
      <c r="B18" s="7">
        <v>173.24</v>
      </c>
      <c r="C18" s="7">
        <v>284.54000000000002</v>
      </c>
      <c r="D18" s="14">
        <v>356</v>
      </c>
      <c r="E18" s="7">
        <v>475.46</v>
      </c>
      <c r="F18" s="7">
        <v>348.96</v>
      </c>
      <c r="G18" s="1"/>
      <c r="H18" s="1"/>
      <c r="I18" s="1"/>
      <c r="J18" s="16"/>
      <c r="K18" s="17"/>
    </row>
    <row r="19" spans="1:11" x14ac:dyDescent="0.2">
      <c r="A19" s="7" t="s">
        <v>49</v>
      </c>
      <c r="B19" s="11">
        <v>1420.19</v>
      </c>
      <c r="C19" s="11">
        <v>2134.9</v>
      </c>
      <c r="D19" s="13">
        <v>1965.78</v>
      </c>
      <c r="E19" s="11">
        <v>1952.08</v>
      </c>
      <c r="F19" s="11">
        <v>1863.04</v>
      </c>
      <c r="G19" s="1"/>
      <c r="H19" s="1"/>
      <c r="I19" s="1"/>
      <c r="J19" s="16"/>
      <c r="K19" s="17"/>
    </row>
    <row r="20" spans="1:11" x14ac:dyDescent="0.2">
      <c r="A20" s="7" t="s">
        <v>50</v>
      </c>
      <c r="B20" s="11">
        <v>2697</v>
      </c>
      <c r="C20" s="11">
        <v>2840.1</v>
      </c>
      <c r="D20" s="13">
        <v>3984.79</v>
      </c>
      <c r="E20" s="11">
        <v>3863.72</v>
      </c>
      <c r="F20" s="11">
        <v>3792.88</v>
      </c>
      <c r="G20" s="1"/>
      <c r="H20" s="1"/>
      <c r="I20" s="1"/>
      <c r="J20" s="16"/>
      <c r="K20" s="16"/>
    </row>
    <row r="21" spans="1:11" x14ac:dyDescent="0.2">
      <c r="A21" s="7" t="s">
        <v>51</v>
      </c>
      <c r="B21" s="11">
        <v>0</v>
      </c>
      <c r="C21" s="7">
        <v>0</v>
      </c>
      <c r="D21" s="13">
        <v>3611.66</v>
      </c>
      <c r="E21" s="11">
        <v>4245.78</v>
      </c>
      <c r="F21" s="11">
        <v>4581.6000000000004</v>
      </c>
      <c r="G21" s="1"/>
      <c r="H21" s="1"/>
      <c r="I21" s="1"/>
      <c r="J21" s="16"/>
      <c r="K21" s="17"/>
    </row>
    <row r="22" spans="1:11" x14ac:dyDescent="0.2">
      <c r="A22" s="7" t="s">
        <v>52</v>
      </c>
      <c r="B22" s="11">
        <v>5949.67</v>
      </c>
      <c r="C22" s="11">
        <v>6077.62</v>
      </c>
      <c r="D22" s="13">
        <v>2377.38</v>
      </c>
      <c r="E22" s="11">
        <v>2156.5500000000002</v>
      </c>
      <c r="F22" s="11">
        <v>2659.78</v>
      </c>
      <c r="G22" s="1"/>
      <c r="H22" s="1"/>
      <c r="I22" s="1"/>
      <c r="J22" s="16"/>
      <c r="K22" s="17"/>
    </row>
    <row r="23" spans="1:11" x14ac:dyDescent="0.2">
      <c r="A23" s="12" t="s">
        <v>53</v>
      </c>
      <c r="B23" s="11">
        <v>116306.88</v>
      </c>
      <c r="C23" s="11">
        <v>111867.75</v>
      </c>
      <c r="D23" s="13">
        <v>108147.99</v>
      </c>
      <c r="E23" s="11">
        <v>121547.37</v>
      </c>
      <c r="F23" s="11">
        <v>134182.39000000001</v>
      </c>
      <c r="G23" s="1"/>
      <c r="H23" s="1"/>
      <c r="I23" s="1"/>
      <c r="J23" s="16"/>
      <c r="K23" s="17"/>
    </row>
    <row r="24" spans="1:11" x14ac:dyDescent="0.2">
      <c r="A24" s="12" t="s">
        <v>54</v>
      </c>
      <c r="B24" s="11"/>
      <c r="C24" s="1"/>
      <c r="D24" s="14"/>
      <c r="E24" s="1"/>
      <c r="F24" s="1"/>
      <c r="G24" s="1"/>
      <c r="H24" s="1"/>
      <c r="I24" s="1"/>
      <c r="J24" s="16"/>
      <c r="K24" s="17"/>
    </row>
    <row r="25" spans="1:11" x14ac:dyDescent="0.2">
      <c r="A25" s="7" t="s">
        <v>55</v>
      </c>
      <c r="B25" s="11">
        <v>5820.54</v>
      </c>
      <c r="C25" s="11">
        <v>5943.32</v>
      </c>
      <c r="D25" s="13">
        <v>6828.78</v>
      </c>
      <c r="E25" s="11">
        <v>6620.19</v>
      </c>
      <c r="F25" s="11">
        <v>7670.55</v>
      </c>
      <c r="G25" s="1"/>
      <c r="H25" s="1"/>
      <c r="I25" s="1"/>
      <c r="J25" s="16"/>
      <c r="K25" s="17"/>
    </row>
    <row r="26" spans="1:11" x14ac:dyDescent="0.2">
      <c r="A26" s="7" t="s">
        <v>56</v>
      </c>
      <c r="B26" s="11">
        <v>31011.23</v>
      </c>
      <c r="C26" s="11">
        <v>29799.58</v>
      </c>
      <c r="D26" s="13">
        <v>35573.42</v>
      </c>
      <c r="E26" s="11">
        <v>34957.629999999997</v>
      </c>
      <c r="F26" s="11">
        <v>43360.62</v>
      </c>
      <c r="G26" s="1"/>
      <c r="H26" s="1"/>
      <c r="I26" s="1"/>
      <c r="J26" s="16"/>
      <c r="K26" s="16"/>
    </row>
    <row r="27" spans="1:11" x14ac:dyDescent="0.2">
      <c r="A27" s="7" t="s">
        <v>57</v>
      </c>
      <c r="B27" s="11">
        <v>42229.78</v>
      </c>
      <c r="C27" s="11">
        <v>46139.32</v>
      </c>
      <c r="D27" s="13">
        <v>44731.53</v>
      </c>
      <c r="E27" s="11">
        <v>48770.95</v>
      </c>
      <c r="F27" s="11">
        <v>53713.68</v>
      </c>
      <c r="G27" s="1"/>
      <c r="H27" s="1"/>
      <c r="I27" s="1"/>
      <c r="J27" s="16"/>
      <c r="K27" s="17"/>
    </row>
    <row r="28" spans="1:11" x14ac:dyDescent="0.2">
      <c r="A28" s="7" t="s">
        <v>58</v>
      </c>
      <c r="B28" s="11">
        <v>13373.52</v>
      </c>
      <c r="C28" s="11">
        <v>13770.24</v>
      </c>
      <c r="D28" s="13">
        <v>16926.689999999999</v>
      </c>
      <c r="E28" s="11">
        <v>11958.5</v>
      </c>
      <c r="F28" s="11">
        <v>12187</v>
      </c>
      <c r="G28" s="1"/>
      <c r="H28" s="1"/>
      <c r="I28" s="1"/>
      <c r="J28" s="16"/>
      <c r="K28" s="17"/>
    </row>
    <row r="29" spans="1:11" x14ac:dyDescent="0.2">
      <c r="A29" s="7" t="s">
        <v>59</v>
      </c>
      <c r="B29" s="11">
        <v>2867.98</v>
      </c>
      <c r="C29" s="11">
        <v>5182.93</v>
      </c>
      <c r="D29" s="13">
        <v>5592.91</v>
      </c>
      <c r="E29" s="11">
        <v>3399.89</v>
      </c>
      <c r="F29" s="11">
        <v>10778.34</v>
      </c>
      <c r="G29" s="1"/>
      <c r="H29" s="1"/>
      <c r="I29" s="1"/>
      <c r="J29" s="16"/>
      <c r="K29" s="17"/>
    </row>
    <row r="30" spans="1:11" x14ac:dyDescent="0.2">
      <c r="A30" s="7" t="s">
        <v>47</v>
      </c>
      <c r="B30" s="11">
        <v>41379.03</v>
      </c>
      <c r="C30" s="11">
        <v>42269.2</v>
      </c>
      <c r="D30" s="13">
        <v>40460.550000000003</v>
      </c>
      <c r="E30" s="11">
        <v>34814.589999999997</v>
      </c>
      <c r="F30" s="11">
        <v>36077.51</v>
      </c>
      <c r="G30" s="1"/>
      <c r="H30" s="1"/>
      <c r="I30" s="1"/>
      <c r="J30" s="16"/>
      <c r="K30" s="17"/>
    </row>
    <row r="31" spans="1:11" x14ac:dyDescent="0.2">
      <c r="A31" s="7" t="s">
        <v>48</v>
      </c>
      <c r="B31" s="7">
        <v>235.35</v>
      </c>
      <c r="C31" s="7">
        <v>280.33999999999997</v>
      </c>
      <c r="D31" s="14">
        <v>251.15</v>
      </c>
      <c r="E31" s="7">
        <v>106.54</v>
      </c>
      <c r="F31" s="7">
        <v>416.85</v>
      </c>
      <c r="G31" s="1"/>
      <c r="H31" s="1"/>
      <c r="I31" s="1"/>
      <c r="J31" s="16"/>
      <c r="K31" s="17"/>
    </row>
    <row r="32" spans="1:11" x14ac:dyDescent="0.2">
      <c r="A32" s="7" t="s">
        <v>49</v>
      </c>
      <c r="B32" s="11">
        <v>3251.68</v>
      </c>
      <c r="C32" s="11">
        <v>3655.82</v>
      </c>
      <c r="D32" s="13">
        <v>4930.1000000000004</v>
      </c>
      <c r="E32" s="11">
        <v>5563.92</v>
      </c>
      <c r="F32" s="11">
        <v>5419.89</v>
      </c>
      <c r="G32" s="1"/>
      <c r="H32" s="1"/>
      <c r="I32" s="1"/>
      <c r="J32" s="16"/>
      <c r="K32" s="17"/>
    </row>
    <row r="33" spans="1:11" x14ac:dyDescent="0.2">
      <c r="A33" s="7" t="s">
        <v>60</v>
      </c>
      <c r="B33" s="11">
        <v>54791.48</v>
      </c>
      <c r="C33" s="11">
        <v>60331.55</v>
      </c>
      <c r="D33" s="13">
        <v>65920.39</v>
      </c>
      <c r="E33" s="11">
        <v>71391.03</v>
      </c>
      <c r="F33" s="11">
        <v>75559.83</v>
      </c>
      <c r="G33" s="1"/>
      <c r="H33" s="1"/>
      <c r="I33" s="1"/>
      <c r="J33" s="16"/>
      <c r="K33" s="16"/>
    </row>
    <row r="34" spans="1:11" x14ac:dyDescent="0.2">
      <c r="A34" s="7" t="s">
        <v>61</v>
      </c>
      <c r="B34" s="11">
        <v>194960.59</v>
      </c>
      <c r="C34" s="11">
        <v>207372.3</v>
      </c>
      <c r="D34" s="13">
        <v>148466.35</v>
      </c>
      <c r="E34" s="11">
        <v>217583.24</v>
      </c>
      <c r="F34" s="11">
        <v>245184.27</v>
      </c>
      <c r="G34" s="1"/>
      <c r="H34" s="1"/>
      <c r="I34" s="1"/>
      <c r="J34" s="16"/>
      <c r="K34" s="17"/>
    </row>
    <row r="35" spans="1:11" x14ac:dyDescent="0.2">
      <c r="A35" s="7" t="s">
        <v>62</v>
      </c>
      <c r="B35" s="7">
        <v>6.24</v>
      </c>
      <c r="C35" s="7">
        <v>830.78</v>
      </c>
      <c r="D35" s="14">
        <v>988.8</v>
      </c>
      <c r="E35" s="11">
        <v>1005.36</v>
      </c>
      <c r="F35" s="7">
        <v>157.44</v>
      </c>
      <c r="G35" s="1"/>
      <c r="H35" s="1"/>
      <c r="I35" s="1"/>
      <c r="J35" s="16"/>
      <c r="K35" s="17"/>
    </row>
    <row r="36" spans="1:11" x14ac:dyDescent="0.2">
      <c r="A36" s="12" t="s">
        <v>63</v>
      </c>
      <c r="B36" s="11">
        <v>311273.71000000002</v>
      </c>
      <c r="C36" s="11">
        <v>320067.20000000001</v>
      </c>
      <c r="D36" s="13">
        <v>330352.31</v>
      </c>
      <c r="E36" s="11">
        <v>339627.24</v>
      </c>
      <c r="F36" s="11">
        <v>379524.1</v>
      </c>
      <c r="G36" s="1"/>
      <c r="H36" s="1"/>
      <c r="I36" s="1"/>
      <c r="J36" s="16"/>
      <c r="K36" s="17"/>
    </row>
    <row r="37" spans="1:11" x14ac:dyDescent="0.2">
      <c r="A37" s="12" t="s">
        <v>64</v>
      </c>
      <c r="B37" s="1"/>
      <c r="C37" s="1"/>
      <c r="D37" s="14"/>
      <c r="E37" s="1"/>
      <c r="F37" s="1"/>
      <c r="G37" s="1"/>
      <c r="H37" s="1"/>
      <c r="I37" s="1"/>
      <c r="J37" s="16"/>
      <c r="K37" s="16"/>
    </row>
    <row r="38" spans="1:11" x14ac:dyDescent="0.2">
      <c r="A38" s="12" t="s">
        <v>65</v>
      </c>
      <c r="B38" s="1"/>
      <c r="C38" s="1"/>
      <c r="D38" s="14"/>
      <c r="E38" s="1"/>
      <c r="F38" s="1"/>
      <c r="G38" s="1"/>
      <c r="H38" s="1"/>
      <c r="I38" s="1"/>
      <c r="J38" s="16"/>
      <c r="K38" s="17"/>
    </row>
    <row r="39" spans="1:11" x14ac:dyDescent="0.2">
      <c r="A39" s="7" t="s">
        <v>66</v>
      </c>
      <c r="B39" s="7">
        <v>280.91000000000003</v>
      </c>
      <c r="C39" s="7">
        <v>281.01</v>
      </c>
      <c r="D39" s="14">
        <v>281.10000000000002</v>
      </c>
      <c r="E39" s="7">
        <v>274.93</v>
      </c>
      <c r="F39" s="7">
        <v>275.04000000000002</v>
      </c>
      <c r="G39" s="1"/>
      <c r="H39" s="1"/>
      <c r="I39" s="1"/>
      <c r="J39" s="16"/>
      <c r="K39" s="16"/>
    </row>
    <row r="40" spans="1:11" x14ac:dyDescent="0.2">
      <c r="A40" s="7" t="s">
        <v>67</v>
      </c>
      <c r="B40" s="11">
        <v>75587.62</v>
      </c>
      <c r="C40" s="11">
        <v>82126.649999999994</v>
      </c>
      <c r="D40" s="13">
        <v>89044.85</v>
      </c>
      <c r="E40" s="11">
        <v>86084.31</v>
      </c>
      <c r="F40" s="11">
        <v>97380.56</v>
      </c>
      <c r="G40" s="1"/>
      <c r="H40" s="1"/>
      <c r="I40" s="1"/>
      <c r="J40" s="16"/>
      <c r="K40" s="16"/>
    </row>
    <row r="41" spans="1:11" x14ac:dyDescent="0.2">
      <c r="A41" s="7" t="s">
        <v>68</v>
      </c>
      <c r="B41" s="11">
        <v>75868.53</v>
      </c>
      <c r="C41" s="11">
        <v>82407.66</v>
      </c>
      <c r="D41" s="13">
        <v>89325.95</v>
      </c>
      <c r="E41" s="11">
        <v>86359.24</v>
      </c>
      <c r="F41" s="11">
        <v>97655.6</v>
      </c>
      <c r="G41" s="1"/>
      <c r="H41" s="1"/>
      <c r="I41" s="1"/>
      <c r="J41" s="16"/>
      <c r="K41" s="17"/>
    </row>
    <row r="42" spans="1:11" x14ac:dyDescent="0.2">
      <c r="A42" s="7" t="s">
        <v>69</v>
      </c>
      <c r="B42" s="11">
        <v>12051.53</v>
      </c>
      <c r="C42" s="11">
        <v>12966.07</v>
      </c>
      <c r="D42" s="13">
        <v>14241.27</v>
      </c>
      <c r="E42" s="11">
        <v>16190.42</v>
      </c>
      <c r="F42" s="11">
        <v>17748.080000000002</v>
      </c>
      <c r="G42" s="1"/>
      <c r="H42" s="1"/>
      <c r="I42" s="1"/>
      <c r="J42" s="16"/>
      <c r="K42" s="17"/>
    </row>
    <row r="43" spans="1:11" x14ac:dyDescent="0.2">
      <c r="A43" s="12" t="s">
        <v>70</v>
      </c>
      <c r="B43" s="11">
        <v>87920.06</v>
      </c>
      <c r="C43" s="11">
        <v>95373.73</v>
      </c>
      <c r="D43" s="13">
        <v>103567.22</v>
      </c>
      <c r="E43" s="11">
        <v>102549.66</v>
      </c>
      <c r="F43" s="11">
        <v>115403.68</v>
      </c>
      <c r="G43" s="1"/>
      <c r="H43" s="1"/>
      <c r="I43" s="1"/>
      <c r="J43" s="16"/>
      <c r="K43" s="17"/>
    </row>
    <row r="44" spans="1:11" x14ac:dyDescent="0.2">
      <c r="A44" s="7" t="s">
        <v>71</v>
      </c>
      <c r="B44" s="11"/>
      <c r="C44" s="1"/>
      <c r="D44" s="14"/>
      <c r="E44" s="1"/>
      <c r="F44" s="1"/>
      <c r="G44" s="1"/>
      <c r="H44" s="1"/>
      <c r="I44" s="1"/>
      <c r="J44" s="16"/>
      <c r="K44" s="17"/>
    </row>
    <row r="45" spans="1:11" x14ac:dyDescent="0.2">
      <c r="A45" s="12" t="s">
        <v>72</v>
      </c>
      <c r="B45" s="1"/>
      <c r="C45" s="1"/>
      <c r="D45" s="14"/>
      <c r="E45" s="1"/>
      <c r="F45" s="1"/>
      <c r="G45" s="1"/>
      <c r="H45" s="1"/>
      <c r="I45" s="1"/>
      <c r="J45" s="16"/>
      <c r="K45" s="16"/>
    </row>
    <row r="46" spans="1:11" x14ac:dyDescent="0.2">
      <c r="A46" s="7" t="s">
        <v>73</v>
      </c>
      <c r="B46" s="11">
        <v>82120.039999999994</v>
      </c>
      <c r="C46" s="11">
        <v>61618.31</v>
      </c>
      <c r="D46" s="13">
        <v>61217.68</v>
      </c>
      <c r="E46" s="11">
        <v>56506.97</v>
      </c>
      <c r="F46" s="11">
        <v>57503.34</v>
      </c>
      <c r="G46" s="1"/>
      <c r="H46" s="1"/>
      <c r="I46" s="1"/>
      <c r="J46" s="16"/>
      <c r="K46" s="17"/>
    </row>
    <row r="47" spans="1:11" x14ac:dyDescent="0.2">
      <c r="A47" s="7" t="s">
        <v>74</v>
      </c>
      <c r="B47" s="11">
        <v>1617.72</v>
      </c>
      <c r="C47" s="11">
        <v>1633.31</v>
      </c>
      <c r="D47" s="13">
        <v>1646.31</v>
      </c>
      <c r="E47" s="11">
        <v>1734.78</v>
      </c>
      <c r="F47" s="11">
        <v>2265.2399999999998</v>
      </c>
      <c r="G47" s="1"/>
      <c r="H47" s="1"/>
      <c r="I47" s="1"/>
      <c r="J47" s="16"/>
      <c r="K47" s="17"/>
    </row>
    <row r="48" spans="1:11" x14ac:dyDescent="0.2">
      <c r="A48" s="7" t="s">
        <v>75</v>
      </c>
      <c r="B48" s="7">
        <v>186.74</v>
      </c>
      <c r="C48" s="7">
        <v>122.94</v>
      </c>
      <c r="D48" s="14">
        <v>272.95999999999998</v>
      </c>
      <c r="E48" s="7">
        <v>96.07</v>
      </c>
      <c r="F48" s="7">
        <v>252.18</v>
      </c>
      <c r="G48" s="1"/>
      <c r="H48" s="1"/>
      <c r="I48" s="1"/>
      <c r="J48" s="16"/>
      <c r="K48" s="16"/>
    </row>
    <row r="49" spans="1:11" x14ac:dyDescent="0.2">
      <c r="A49" s="7" t="s">
        <v>76</v>
      </c>
      <c r="B49" s="7">
        <v>773.78</v>
      </c>
      <c r="C49" s="7">
        <v>817.77</v>
      </c>
      <c r="D49" s="14">
        <v>869.99</v>
      </c>
      <c r="E49" s="7">
        <v>987.38</v>
      </c>
      <c r="F49" s="11">
        <v>1124.01</v>
      </c>
      <c r="G49" s="1"/>
      <c r="H49" s="1"/>
      <c r="I49" s="1"/>
      <c r="J49" s="16"/>
      <c r="K49" s="16"/>
    </row>
    <row r="50" spans="1:11" x14ac:dyDescent="0.2">
      <c r="A50" s="7" t="s">
        <v>77</v>
      </c>
      <c r="B50" s="11">
        <v>1178.6600000000001</v>
      </c>
      <c r="C50" s="11">
        <v>1039.33</v>
      </c>
      <c r="D50" s="14">
        <v>630.42999999999995</v>
      </c>
      <c r="E50" s="7">
        <v>533.63</v>
      </c>
      <c r="F50" s="7">
        <v>410.01</v>
      </c>
      <c r="G50" s="1"/>
      <c r="H50" s="1"/>
      <c r="I50" s="1"/>
      <c r="J50" s="16"/>
      <c r="K50" s="16"/>
    </row>
    <row r="51" spans="1:11" x14ac:dyDescent="0.2">
      <c r="A51" s="7" t="s">
        <v>78</v>
      </c>
      <c r="B51" s="7">
        <v>68.7</v>
      </c>
      <c r="C51" s="7">
        <v>21.27</v>
      </c>
      <c r="D51" s="14">
        <v>81.73</v>
      </c>
      <c r="E51" s="7">
        <v>618.02</v>
      </c>
      <c r="F51" s="7">
        <v>594.74</v>
      </c>
      <c r="G51" s="1"/>
      <c r="H51" s="1"/>
      <c r="I51" s="1"/>
      <c r="J51" s="16"/>
      <c r="K51" s="16"/>
    </row>
    <row r="52" spans="1:11" x14ac:dyDescent="0.2">
      <c r="A52" s="12" t="s">
        <v>79</v>
      </c>
      <c r="B52" s="11">
        <v>85945.64</v>
      </c>
      <c r="C52" s="11">
        <v>65363.29</v>
      </c>
      <c r="D52" s="13">
        <v>64719.1</v>
      </c>
      <c r="E52" s="11">
        <v>60476.85</v>
      </c>
      <c r="F52" s="11">
        <v>62149.52</v>
      </c>
      <c r="G52" s="1"/>
      <c r="H52" s="1"/>
      <c r="I52" s="1"/>
      <c r="J52" s="16"/>
      <c r="K52" s="17"/>
    </row>
    <row r="53" spans="1:11" x14ac:dyDescent="0.2">
      <c r="A53" s="12" t="s">
        <v>80</v>
      </c>
      <c r="B53" s="1"/>
      <c r="C53" s="1"/>
      <c r="D53" s="14"/>
      <c r="E53" s="1"/>
      <c r="F53" s="1"/>
      <c r="G53" s="1"/>
      <c r="H53" s="1"/>
      <c r="I53" s="1"/>
      <c r="J53" s="16"/>
      <c r="K53" s="16"/>
    </row>
    <row r="54" spans="1:11" x14ac:dyDescent="0.2">
      <c r="A54" s="7" t="s">
        <v>73</v>
      </c>
      <c r="B54" s="11">
        <v>27765.83</v>
      </c>
      <c r="C54" s="11">
        <v>30476.959999999999</v>
      </c>
      <c r="D54" s="13">
        <v>30896.32</v>
      </c>
      <c r="E54" s="11">
        <v>27834.27</v>
      </c>
      <c r="F54" s="11">
        <v>35861.300000000003</v>
      </c>
      <c r="G54" s="1"/>
      <c r="H54" s="1"/>
      <c r="I54" s="1"/>
      <c r="J54" s="16"/>
      <c r="K54" s="17"/>
    </row>
    <row r="55" spans="1:11" x14ac:dyDescent="0.2">
      <c r="A55" s="7" t="s">
        <v>81</v>
      </c>
      <c r="B55" s="11">
        <v>22719.39</v>
      </c>
      <c r="C55" s="11">
        <v>31372.959999999999</v>
      </c>
      <c r="D55" s="13">
        <v>26399.38</v>
      </c>
      <c r="E55" s="11">
        <v>29698.53</v>
      </c>
      <c r="F55" s="11">
        <v>36194.699999999997</v>
      </c>
      <c r="G55" s="1"/>
      <c r="H55" s="1"/>
      <c r="I55" s="1"/>
      <c r="J55" s="16"/>
      <c r="K55" s="17"/>
    </row>
    <row r="56" spans="1:11" x14ac:dyDescent="0.2">
      <c r="A56" s="7" t="s">
        <v>74</v>
      </c>
      <c r="B56" s="7">
        <v>406.1</v>
      </c>
      <c r="C56" s="7">
        <v>406.54</v>
      </c>
      <c r="D56" s="14">
        <v>490.75</v>
      </c>
      <c r="E56" s="7">
        <v>547.66999999999996</v>
      </c>
      <c r="F56" s="7">
        <v>584.34</v>
      </c>
      <c r="G56" s="1"/>
      <c r="H56" s="1"/>
      <c r="I56" s="1"/>
      <c r="J56" s="16"/>
      <c r="K56" s="16"/>
    </row>
    <row r="57" spans="1:11" x14ac:dyDescent="0.2">
      <c r="A57" s="7" t="s">
        <v>82</v>
      </c>
      <c r="B57" s="1"/>
      <c r="C57" s="1"/>
      <c r="D57" s="14"/>
      <c r="E57" s="1"/>
      <c r="F57" s="1"/>
      <c r="G57" s="1"/>
      <c r="H57" s="1"/>
      <c r="I57" s="1"/>
      <c r="J57" s="16"/>
      <c r="K57" s="16"/>
    </row>
    <row r="58" spans="1:11" x14ac:dyDescent="0.2">
      <c r="A58" s="7" t="s">
        <v>83</v>
      </c>
      <c r="B58" s="7">
        <v>488.99</v>
      </c>
      <c r="C58" s="7">
        <v>575.91</v>
      </c>
      <c r="D58" s="14">
        <v>851.7</v>
      </c>
      <c r="E58" s="11">
        <v>1018.71</v>
      </c>
      <c r="F58" s="11">
        <v>1417.65</v>
      </c>
      <c r="G58" s="1"/>
      <c r="H58" s="1"/>
      <c r="I58" s="1"/>
      <c r="J58" s="16"/>
      <c r="K58" s="17"/>
    </row>
    <row r="59" spans="1:11" x14ac:dyDescent="0.2">
      <c r="A59" s="7" t="s">
        <v>84</v>
      </c>
      <c r="B59" s="11">
        <v>45256.24</v>
      </c>
      <c r="C59" s="11">
        <v>50789.71</v>
      </c>
      <c r="D59" s="13">
        <v>48932.42</v>
      </c>
      <c r="E59" s="11">
        <v>52274.17</v>
      </c>
      <c r="F59" s="11">
        <v>51041.69</v>
      </c>
      <c r="G59" s="1"/>
      <c r="H59" s="1"/>
      <c r="I59" s="1"/>
      <c r="J59" s="16"/>
      <c r="K59" s="17"/>
    </row>
    <row r="60" spans="1:11" x14ac:dyDescent="0.2">
      <c r="A60" s="7" t="s">
        <v>75</v>
      </c>
      <c r="B60" s="11">
        <v>5328.93</v>
      </c>
      <c r="C60" s="11">
        <v>6664.35</v>
      </c>
      <c r="D60" s="13">
        <v>7441.94</v>
      </c>
      <c r="E60" s="11">
        <v>7575.67</v>
      </c>
      <c r="F60" s="11">
        <v>6273.37</v>
      </c>
      <c r="G60" s="1"/>
      <c r="H60" s="1"/>
      <c r="I60" s="1"/>
      <c r="J60" s="16"/>
      <c r="K60" s="17"/>
    </row>
    <row r="61" spans="1:11" x14ac:dyDescent="0.2">
      <c r="A61" s="7" t="s">
        <v>85</v>
      </c>
      <c r="B61" s="11">
        <v>31269.63</v>
      </c>
      <c r="C61" s="11">
        <v>34408.74</v>
      </c>
      <c r="D61" s="13">
        <v>42166.55</v>
      </c>
      <c r="E61" s="11">
        <v>52184.08</v>
      </c>
      <c r="F61" s="11">
        <v>63326.97</v>
      </c>
      <c r="G61" s="1"/>
      <c r="H61" s="1"/>
      <c r="I61" s="1"/>
      <c r="J61" s="16"/>
      <c r="K61" s="17"/>
    </row>
    <row r="62" spans="1:11" x14ac:dyDescent="0.2">
      <c r="A62" s="7" t="s">
        <v>76</v>
      </c>
      <c r="B62" s="11">
        <v>2998.68</v>
      </c>
      <c r="C62" s="11">
        <v>3355.86</v>
      </c>
      <c r="D62" s="13">
        <v>3493.47</v>
      </c>
      <c r="E62" s="11">
        <v>4115.8900000000003</v>
      </c>
      <c r="F62" s="11">
        <v>4691.67</v>
      </c>
      <c r="G62" s="1"/>
      <c r="H62" s="1"/>
      <c r="I62" s="1"/>
      <c r="J62" s="16"/>
      <c r="K62" s="17"/>
    </row>
    <row r="63" spans="1:11" x14ac:dyDescent="0.2">
      <c r="A63" s="7" t="s">
        <v>86</v>
      </c>
      <c r="B63" s="11">
        <v>1171.02</v>
      </c>
      <c r="C63" s="11">
        <v>1309.82</v>
      </c>
      <c r="D63" s="13">
        <v>1393.46</v>
      </c>
      <c r="E63" s="11">
        <v>1860.47</v>
      </c>
      <c r="F63" s="11">
        <v>2579.21</v>
      </c>
      <c r="G63" s="1"/>
      <c r="H63" s="1"/>
      <c r="I63" s="1"/>
      <c r="J63" s="16"/>
      <c r="K63" s="17"/>
    </row>
    <row r="64" spans="1:11" x14ac:dyDescent="0.2">
      <c r="A64" s="12" t="s">
        <v>87</v>
      </c>
      <c r="B64" s="11">
        <v>137404.81</v>
      </c>
      <c r="C64" s="11">
        <v>159353.79999999999</v>
      </c>
      <c r="D64" s="13">
        <v>162065.99</v>
      </c>
      <c r="E64" s="11">
        <v>177109.46</v>
      </c>
      <c r="F64" s="11">
        <v>201970.9</v>
      </c>
      <c r="G64" s="1"/>
      <c r="H64" s="1"/>
      <c r="I64" s="1"/>
      <c r="J64" s="16"/>
      <c r="K64" s="17"/>
    </row>
    <row r="65" spans="1:11" x14ac:dyDescent="0.2">
      <c r="A65" s="7" t="s">
        <v>88</v>
      </c>
      <c r="B65" s="7">
        <v>3.2</v>
      </c>
      <c r="C65" s="11">
        <v>79.73</v>
      </c>
      <c r="D65" s="13"/>
      <c r="E65" s="11"/>
      <c r="F65" s="11"/>
      <c r="G65" s="1"/>
      <c r="H65" s="1"/>
      <c r="I65" s="1"/>
      <c r="J65" s="16"/>
      <c r="K65" s="17"/>
    </row>
    <row r="66" spans="1:11" x14ac:dyDescent="0.2">
      <c r="A66" s="12" t="s">
        <v>89</v>
      </c>
      <c r="B66" s="11">
        <v>223353.65</v>
      </c>
      <c r="C66" s="11">
        <v>224675.19</v>
      </c>
      <c r="D66" s="13">
        <v>226785.09</v>
      </c>
      <c r="E66" s="11">
        <v>237586.31</v>
      </c>
      <c r="F66" s="11">
        <v>264120.42</v>
      </c>
      <c r="G66" s="1"/>
      <c r="H66" s="1"/>
      <c r="I66" s="1"/>
      <c r="J66" s="1"/>
      <c r="K66" s="1"/>
    </row>
    <row r="67" spans="1:11" x14ac:dyDescent="0.2">
      <c r="A67" s="12" t="s">
        <v>90</v>
      </c>
      <c r="B67" s="11">
        <v>311273.71000000002</v>
      </c>
      <c r="C67" s="11">
        <v>320048.92</v>
      </c>
      <c r="D67" s="13">
        <v>330352.31</v>
      </c>
      <c r="E67" s="11">
        <v>339627.24</v>
      </c>
      <c r="F67" s="11">
        <v>379524.1</v>
      </c>
      <c r="G67" s="1"/>
      <c r="H67" s="1"/>
      <c r="I67" s="1"/>
      <c r="J67" s="1"/>
      <c r="K6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21DF-42AA-4132-9152-C19C3305EDDC}">
  <sheetPr codeName="Sheet15"/>
  <dimension ref="A3:X84"/>
  <sheetViews>
    <sheetView workbookViewId="0">
      <selection activeCell="B19" sqref="B19"/>
    </sheetView>
  </sheetViews>
  <sheetFormatPr defaultRowHeight="15" x14ac:dyDescent="0.2"/>
  <cols>
    <col min="1" max="1" width="25.01953125" bestFit="1" customWidth="1"/>
    <col min="2" max="2" width="36.18359375" bestFit="1" customWidth="1"/>
    <col min="3" max="3" width="34.70703125" bestFit="1" customWidth="1"/>
    <col min="4" max="4" width="9.4140625" bestFit="1" customWidth="1"/>
    <col min="5" max="8" width="7.3984375" bestFit="1" customWidth="1"/>
    <col min="9" max="13" width="6.9921875" bestFit="1" customWidth="1"/>
  </cols>
  <sheetData>
    <row r="3" spans="1:24" ht="21" x14ac:dyDescent="0.2">
      <c r="A3" s="9" t="s">
        <v>91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1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thickBot="1" x14ac:dyDescent="0.25">
      <c r="A5" s="25" t="s">
        <v>1</v>
      </c>
      <c r="B5" s="26">
        <v>41699</v>
      </c>
      <c r="C5" s="26">
        <v>42064</v>
      </c>
      <c r="D5" s="26">
        <v>42430</v>
      </c>
      <c r="E5" s="26">
        <v>42795</v>
      </c>
      <c r="F5" s="26">
        <v>43160</v>
      </c>
      <c r="G5" s="26">
        <v>43525</v>
      </c>
      <c r="H5" s="26">
        <v>43891</v>
      </c>
      <c r="I5" s="26">
        <v>44256</v>
      </c>
      <c r="J5" s="26">
        <v>44621</v>
      </c>
      <c r="K5" s="26">
        <v>44986</v>
      </c>
      <c r="L5" s="26">
        <v>45352</v>
      </c>
      <c r="M5" s="26">
        <v>45717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thickBot="1" x14ac:dyDescent="0.25">
      <c r="A6" s="19" t="s">
        <v>92</v>
      </c>
      <c r="B6" s="20">
        <v>-7143</v>
      </c>
      <c r="C6" s="20">
        <v>-1365</v>
      </c>
      <c r="D6" s="20">
        <v>-3240</v>
      </c>
      <c r="E6" s="20">
        <v>6655</v>
      </c>
      <c r="F6" s="20">
        <v>-10031</v>
      </c>
      <c r="G6" s="20">
        <v>-4756</v>
      </c>
      <c r="H6" s="20">
        <v>6694</v>
      </c>
      <c r="I6" s="20">
        <v>23074</v>
      </c>
      <c r="J6" s="20">
        <v>19164</v>
      </c>
      <c r="K6" s="20">
        <v>22777</v>
      </c>
      <c r="L6" s="20">
        <v>18266</v>
      </c>
      <c r="M6" s="20">
        <v>9161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19" t="s">
        <v>93</v>
      </c>
      <c r="B7" s="20">
        <v>11184</v>
      </c>
      <c r="C7" s="20">
        <v>10198</v>
      </c>
      <c r="D7" s="20">
        <v>10485</v>
      </c>
      <c r="E7" s="20">
        <v>11255</v>
      </c>
      <c r="F7" s="20">
        <v>13248</v>
      </c>
      <c r="G7" s="20">
        <v>16073</v>
      </c>
      <c r="H7" s="20">
        <v>18524</v>
      </c>
      <c r="I7" s="20">
        <v>16347</v>
      </c>
      <c r="J7" s="20">
        <v>18946</v>
      </c>
      <c r="K7" s="20">
        <v>22525</v>
      </c>
      <c r="L7" s="20">
        <v>24931</v>
      </c>
      <c r="M7" s="20">
        <v>26826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21" t="s">
        <v>94</v>
      </c>
      <c r="B8" s="22">
        <v>-12895</v>
      </c>
      <c r="C8" s="22">
        <v>-9737</v>
      </c>
      <c r="D8" s="22">
        <v>-9450</v>
      </c>
      <c r="E8" s="22">
        <v>-2471</v>
      </c>
      <c r="F8" s="22">
        <v>-14501</v>
      </c>
      <c r="G8" s="22">
        <v>-9241</v>
      </c>
      <c r="H8" s="22">
        <v>-11278</v>
      </c>
      <c r="I8" s="22">
        <v>3012</v>
      </c>
      <c r="J8" s="22">
        <v>-9852</v>
      </c>
      <c r="K8" s="22">
        <v>-4495</v>
      </c>
      <c r="L8" s="22">
        <v>-10643</v>
      </c>
      <c r="M8" s="22">
        <v>-9252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21" t="s">
        <v>95</v>
      </c>
      <c r="B9" s="23">
        <v>-209</v>
      </c>
      <c r="C9" s="23">
        <v>-983</v>
      </c>
      <c r="D9" s="23">
        <v>217</v>
      </c>
      <c r="E9" s="22">
        <v>1510</v>
      </c>
      <c r="F9" s="23">
        <v>-642</v>
      </c>
      <c r="G9" s="23">
        <v>331</v>
      </c>
      <c r="H9" s="23">
        <v>353</v>
      </c>
      <c r="I9" s="23">
        <v>349</v>
      </c>
      <c r="J9" s="23">
        <v>-74</v>
      </c>
      <c r="K9" s="23">
        <v>-476</v>
      </c>
      <c r="L9" s="23">
        <v>245</v>
      </c>
      <c r="M9" s="23">
        <v>-540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21" t="s">
        <v>96</v>
      </c>
      <c r="B10" s="22">
        <v>4172</v>
      </c>
      <c r="C10" s="22">
        <v>9120</v>
      </c>
      <c r="D10" s="22">
        <v>9308</v>
      </c>
      <c r="E10" s="22">
        <v>5307</v>
      </c>
      <c r="F10" s="22">
        <v>11727</v>
      </c>
      <c r="G10" s="22">
        <v>6819</v>
      </c>
      <c r="H10" s="22">
        <v>3134</v>
      </c>
      <c r="I10" s="22">
        <v>2220</v>
      </c>
      <c r="J10" s="22">
        <v>9678</v>
      </c>
      <c r="K10" s="22">
        <v>5413</v>
      </c>
      <c r="L10" s="22">
        <v>14601</v>
      </c>
      <c r="M10" s="22">
        <v>9683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thickBot="1" x14ac:dyDescent="0.25">
      <c r="A11" s="21" t="s">
        <v>97</v>
      </c>
      <c r="B11" s="22">
        <v>-6448</v>
      </c>
      <c r="C11" s="22">
        <v>-6984</v>
      </c>
      <c r="D11" s="22">
        <v>-10585</v>
      </c>
      <c r="E11" s="22">
        <v>-5744</v>
      </c>
      <c r="F11" s="22">
        <v>-16459</v>
      </c>
      <c r="G11" s="22">
        <v>-13855</v>
      </c>
      <c r="H11" s="23">
        <v>7</v>
      </c>
      <c r="I11" s="22">
        <v>4618</v>
      </c>
      <c r="J11" s="22">
        <v>5005</v>
      </c>
      <c r="K11" s="22">
        <v>4937</v>
      </c>
      <c r="L11" s="22">
        <v>-5588</v>
      </c>
      <c r="M11" s="22">
        <v>-11956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19" t="s">
        <v>98</v>
      </c>
      <c r="B12" s="20">
        <v>-15380</v>
      </c>
      <c r="C12" s="20">
        <v>-8584</v>
      </c>
      <c r="D12" s="20">
        <v>-10510</v>
      </c>
      <c r="E12" s="20">
        <v>-1398</v>
      </c>
      <c r="F12" s="20">
        <v>-19876</v>
      </c>
      <c r="G12" s="20">
        <v>-15946</v>
      </c>
      <c r="H12" s="20">
        <v>-7784</v>
      </c>
      <c r="I12" s="20">
        <v>10198</v>
      </c>
      <c r="J12" s="20">
        <v>4757</v>
      </c>
      <c r="K12" s="20">
        <v>5379</v>
      </c>
      <c r="L12" s="20">
        <v>-1385</v>
      </c>
      <c r="M12" s="20">
        <v>-12064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21" t="s">
        <v>99</v>
      </c>
      <c r="B13" s="22">
        <v>-2947</v>
      </c>
      <c r="C13" s="22">
        <v>-2979</v>
      </c>
      <c r="D13" s="22">
        <v>-3215</v>
      </c>
      <c r="E13" s="22">
        <v>-3202</v>
      </c>
      <c r="F13" s="22">
        <v>-3403</v>
      </c>
      <c r="G13" s="22">
        <v>-4883</v>
      </c>
      <c r="H13" s="22">
        <v>-4046</v>
      </c>
      <c r="I13" s="22">
        <v>-3471</v>
      </c>
      <c r="J13" s="22">
        <v>-4539</v>
      </c>
      <c r="K13" s="22">
        <v>-5127</v>
      </c>
      <c r="L13" s="22">
        <v>-5280</v>
      </c>
      <c r="M13" s="22">
        <v>-5601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thickBo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19" t="s">
        <v>100</v>
      </c>
      <c r="B15" s="20">
        <v>-5510</v>
      </c>
      <c r="C15" s="20">
        <v>-4778</v>
      </c>
      <c r="D15" s="20">
        <v>-4627</v>
      </c>
      <c r="E15" s="20">
        <v>-9796</v>
      </c>
      <c r="F15" s="20">
        <v>3914</v>
      </c>
      <c r="G15" s="20">
        <v>-11023</v>
      </c>
      <c r="H15" s="20">
        <v>-8408</v>
      </c>
      <c r="I15" s="20">
        <v>-5750</v>
      </c>
      <c r="J15" s="20">
        <v>-3585</v>
      </c>
      <c r="K15" s="20">
        <v>-8048</v>
      </c>
      <c r="L15" s="20">
        <v>2179</v>
      </c>
      <c r="M15" s="20">
        <v>-15489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21" t="s">
        <v>101</v>
      </c>
      <c r="B16" s="22">
        <v>-6967</v>
      </c>
      <c r="C16" s="22">
        <v>-6252</v>
      </c>
      <c r="D16" s="22">
        <v>-4322</v>
      </c>
      <c r="E16" s="22">
        <v>-2977</v>
      </c>
      <c r="F16" s="22">
        <v>-2877</v>
      </c>
      <c r="G16" s="22">
        <v>-4307</v>
      </c>
      <c r="H16" s="22">
        <v>-3437</v>
      </c>
      <c r="I16" s="22">
        <v>-1808</v>
      </c>
      <c r="J16" s="22">
        <v>-3111</v>
      </c>
      <c r="K16" s="22">
        <v>-4144</v>
      </c>
      <c r="L16" s="22">
        <v>-4517</v>
      </c>
      <c r="M16" s="22">
        <v>-4419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21" t="s">
        <v>102</v>
      </c>
      <c r="B17" s="23">
        <v>289</v>
      </c>
      <c r="C17" s="23">
        <v>158</v>
      </c>
      <c r="D17" s="23">
        <v>198</v>
      </c>
      <c r="E17" s="23">
        <v>156</v>
      </c>
      <c r="F17" s="23">
        <v>862</v>
      </c>
      <c r="G17" s="23">
        <v>808</v>
      </c>
      <c r="H17" s="23">
        <v>137</v>
      </c>
      <c r="I17" s="23">
        <v>885</v>
      </c>
      <c r="J17" s="23">
        <v>71</v>
      </c>
      <c r="K17" s="23">
        <v>350</v>
      </c>
      <c r="L17" s="23">
        <v>306</v>
      </c>
      <c r="M17" s="23">
        <v>878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21" t="s">
        <v>103</v>
      </c>
      <c r="B18" s="23">
        <v>0</v>
      </c>
      <c r="C18" s="23">
        <v>-830</v>
      </c>
      <c r="D18" s="23">
        <v>-746</v>
      </c>
      <c r="E18" s="22">
        <v>-7882</v>
      </c>
      <c r="F18" s="22">
        <v>-1291</v>
      </c>
      <c r="G18" s="22">
        <v>-4917</v>
      </c>
      <c r="H18" s="22">
        <v>-1857</v>
      </c>
      <c r="I18" s="22">
        <v>-18715</v>
      </c>
      <c r="J18" s="22">
        <v>-2156</v>
      </c>
      <c r="K18" s="22">
        <v>-9120</v>
      </c>
      <c r="L18" s="22">
        <v>-4889</v>
      </c>
      <c r="M18" s="22">
        <v>-8235</v>
      </c>
    </row>
    <row r="19" spans="1:24" x14ac:dyDescent="0.2">
      <c r="A19" s="21" t="s">
        <v>104</v>
      </c>
      <c r="B19" s="23">
        <v>780</v>
      </c>
      <c r="C19" s="23">
        <v>-136</v>
      </c>
      <c r="D19" s="23">
        <v>333</v>
      </c>
      <c r="E19" s="23">
        <v>67</v>
      </c>
      <c r="F19" s="22">
        <v>2980</v>
      </c>
      <c r="G19" s="23">
        <v>653</v>
      </c>
      <c r="H19" s="22">
        <v>4311</v>
      </c>
      <c r="I19" s="23">
        <v>240</v>
      </c>
      <c r="J19" s="22">
        <v>2463</v>
      </c>
      <c r="K19" s="23">
        <v>827</v>
      </c>
      <c r="L19" s="22">
        <v>4931</v>
      </c>
      <c r="M19" s="22">
        <v>1726</v>
      </c>
    </row>
    <row r="20" spans="1:24" x14ac:dyDescent="0.2">
      <c r="A20" s="21" t="s">
        <v>105</v>
      </c>
      <c r="B20" s="23">
        <v>499</v>
      </c>
      <c r="C20" s="23">
        <v>387</v>
      </c>
      <c r="D20" s="23">
        <v>402</v>
      </c>
      <c r="E20" s="23">
        <v>409</v>
      </c>
      <c r="F20" s="23">
        <v>529</v>
      </c>
      <c r="G20" s="23">
        <v>727</v>
      </c>
      <c r="H20" s="23">
        <v>838</v>
      </c>
      <c r="I20" s="22">
        <v>1273</v>
      </c>
      <c r="J20" s="23">
        <v>969</v>
      </c>
      <c r="K20" s="22">
        <v>1609</v>
      </c>
      <c r="L20" s="22">
        <v>2408</v>
      </c>
      <c r="M20" s="22">
        <v>2084</v>
      </c>
    </row>
    <row r="21" spans="1:24" x14ac:dyDescent="0.2">
      <c r="A21" s="21" t="s">
        <v>106</v>
      </c>
      <c r="B21" s="23">
        <v>61</v>
      </c>
      <c r="C21" s="23">
        <v>84</v>
      </c>
      <c r="D21" s="23">
        <v>213</v>
      </c>
      <c r="E21" s="23">
        <v>749</v>
      </c>
      <c r="F21" s="22">
        <v>2749</v>
      </c>
      <c r="G21" s="23">
        <v>256</v>
      </c>
      <c r="H21" s="23">
        <v>114</v>
      </c>
      <c r="I21" s="23">
        <v>203</v>
      </c>
      <c r="J21" s="23">
        <v>161</v>
      </c>
      <c r="K21" s="23">
        <v>157</v>
      </c>
      <c r="L21" s="23">
        <v>226</v>
      </c>
      <c r="M21" s="23">
        <v>144</v>
      </c>
    </row>
    <row r="22" spans="1:24" x14ac:dyDescent="0.2">
      <c r="A22" s="21" t="s">
        <v>107</v>
      </c>
      <c r="B22" s="23">
        <v>0</v>
      </c>
      <c r="C22" s="23">
        <v>0</v>
      </c>
      <c r="D22" s="23">
        <v>0</v>
      </c>
      <c r="E22" s="22">
        <v>-2010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</row>
    <row r="23" spans="1:24" x14ac:dyDescent="0.2">
      <c r="A23" s="21" t="s">
        <v>108</v>
      </c>
      <c r="B23" s="23">
        <v>34</v>
      </c>
      <c r="C23" s="22">
        <v>1350</v>
      </c>
      <c r="D23" s="23">
        <v>432</v>
      </c>
      <c r="E23" s="22">
        <v>2169</v>
      </c>
      <c r="F23" s="22">
        <v>1099</v>
      </c>
      <c r="G23" s="23">
        <v>100</v>
      </c>
      <c r="H23" s="23">
        <v>254</v>
      </c>
      <c r="I23" s="23">
        <v>303</v>
      </c>
      <c r="J23" s="22">
        <v>1016</v>
      </c>
      <c r="K23" s="22">
        <v>2894</v>
      </c>
      <c r="L23" s="23">
        <v>215</v>
      </c>
      <c r="M23" s="22">
        <v>1095</v>
      </c>
    </row>
    <row r="24" spans="1:24" x14ac:dyDescent="0.2">
      <c r="A24" s="21" t="s">
        <v>109</v>
      </c>
      <c r="B24" s="23">
        <v>-44</v>
      </c>
      <c r="C24" s="23">
        <v>-118</v>
      </c>
      <c r="D24" s="23">
        <v>-66</v>
      </c>
      <c r="E24" s="23">
        <v>-27</v>
      </c>
      <c r="F24" s="23">
        <v>-229</v>
      </c>
      <c r="G24" s="23">
        <v>-310</v>
      </c>
      <c r="H24" s="22">
        <v>-9944</v>
      </c>
      <c r="I24" s="23">
        <v>-122</v>
      </c>
      <c r="J24" s="23">
        <v>-88</v>
      </c>
      <c r="K24" s="23">
        <v>-146</v>
      </c>
      <c r="L24" s="23">
        <v>-18</v>
      </c>
      <c r="M24" s="22">
        <v>-2146</v>
      </c>
    </row>
    <row r="25" spans="1:24" x14ac:dyDescent="0.2">
      <c r="A25" s="21" t="s">
        <v>110</v>
      </c>
      <c r="B25" s="23">
        <v>-162</v>
      </c>
      <c r="C25" s="23">
        <v>580</v>
      </c>
      <c r="D25" s="22">
        <v>-1072</v>
      </c>
      <c r="E25" s="23">
        <v>-450</v>
      </c>
      <c r="F25" s="23">
        <v>93</v>
      </c>
      <c r="G25" s="22">
        <v>-4033</v>
      </c>
      <c r="H25" s="22">
        <v>1177</v>
      </c>
      <c r="I25" s="22">
        <v>11989</v>
      </c>
      <c r="J25" s="22">
        <v>-2910</v>
      </c>
      <c r="K25" s="23">
        <v>-476</v>
      </c>
      <c r="L25" s="22">
        <v>3517</v>
      </c>
      <c r="M25" s="22">
        <v>-6616</v>
      </c>
    </row>
    <row r="26" spans="1:24" ht="15.75" thickBot="1" x14ac:dyDescent="0.25">
      <c r="A26" s="21"/>
      <c r="B26" s="23"/>
      <c r="C26" s="23"/>
      <c r="D26" s="22"/>
      <c r="E26" s="23"/>
      <c r="F26" s="23"/>
      <c r="G26" s="22"/>
      <c r="H26" s="22"/>
      <c r="I26" s="22"/>
      <c r="J26" s="22"/>
      <c r="K26" s="23"/>
      <c r="L26" s="22"/>
      <c r="M26" s="22"/>
    </row>
    <row r="27" spans="1:24" x14ac:dyDescent="0.2">
      <c r="A27" s="19" t="s">
        <v>111</v>
      </c>
      <c r="B27" s="20">
        <v>13136</v>
      </c>
      <c r="C27" s="20">
        <v>7903</v>
      </c>
      <c r="D27" s="20">
        <v>7253</v>
      </c>
      <c r="E27" s="20">
        <v>2896</v>
      </c>
      <c r="F27" s="20">
        <v>9370</v>
      </c>
      <c r="G27" s="20">
        <v>15440</v>
      </c>
      <c r="H27" s="20">
        <v>6372</v>
      </c>
      <c r="I27" s="20">
        <v>-15274</v>
      </c>
      <c r="J27" s="20">
        <v>-15181</v>
      </c>
      <c r="K27" s="20">
        <v>-11572</v>
      </c>
      <c r="L27" s="20">
        <v>-25413</v>
      </c>
      <c r="M27" s="20">
        <v>6557</v>
      </c>
    </row>
    <row r="28" spans="1:24" x14ac:dyDescent="0.2">
      <c r="A28" s="21" t="s">
        <v>112</v>
      </c>
      <c r="B28" s="23">
        <v>144</v>
      </c>
      <c r="C28" s="23">
        <v>99</v>
      </c>
      <c r="D28" s="23">
        <v>70</v>
      </c>
      <c r="E28" s="23">
        <v>53</v>
      </c>
      <c r="F28" s="23">
        <v>50</v>
      </c>
      <c r="G28" s="23">
        <v>11</v>
      </c>
      <c r="H28" s="23">
        <v>18</v>
      </c>
      <c r="I28" s="23">
        <v>16</v>
      </c>
      <c r="J28" s="23">
        <v>11</v>
      </c>
      <c r="K28" s="23">
        <v>10</v>
      </c>
      <c r="L28" s="23">
        <v>10</v>
      </c>
      <c r="M28" s="23">
        <v>9</v>
      </c>
    </row>
    <row r="29" spans="1:24" x14ac:dyDescent="0.2">
      <c r="A29" s="21" t="s">
        <v>113</v>
      </c>
      <c r="B29" s="22">
        <v>22261</v>
      </c>
      <c r="C29" s="22">
        <v>32298</v>
      </c>
      <c r="D29" s="22">
        <v>30225</v>
      </c>
      <c r="E29" s="22">
        <v>30523</v>
      </c>
      <c r="F29" s="22">
        <v>46903</v>
      </c>
      <c r="G29" s="22">
        <v>32256</v>
      </c>
      <c r="H29" s="22">
        <v>47811</v>
      </c>
      <c r="I29" s="22">
        <v>36325</v>
      </c>
      <c r="J29" s="22">
        <v>27537</v>
      </c>
      <c r="K29" s="22">
        <v>28386</v>
      </c>
      <c r="L29" s="22">
        <v>23175</v>
      </c>
      <c r="M29" s="22">
        <v>46547</v>
      </c>
    </row>
    <row r="30" spans="1:24" x14ac:dyDescent="0.2">
      <c r="A30" s="21" t="s">
        <v>114</v>
      </c>
      <c r="B30" s="22">
        <v>-10964</v>
      </c>
      <c r="C30" s="22">
        <v>-20836</v>
      </c>
      <c r="D30" s="22">
        <v>-19753</v>
      </c>
      <c r="E30" s="22">
        <v>-27286</v>
      </c>
      <c r="F30" s="22">
        <v>-36964</v>
      </c>
      <c r="G30" s="22">
        <v>-14081</v>
      </c>
      <c r="H30" s="22">
        <v>-33685</v>
      </c>
      <c r="I30" s="22">
        <v>-44991</v>
      </c>
      <c r="J30" s="22">
        <v>-35806</v>
      </c>
      <c r="K30" s="22">
        <v>-32795</v>
      </c>
      <c r="L30" s="22">
        <v>-27228</v>
      </c>
      <c r="M30" s="22">
        <v>-30782</v>
      </c>
    </row>
    <row r="31" spans="1:24" x14ac:dyDescent="0.2">
      <c r="A31" s="21" t="s">
        <v>115</v>
      </c>
      <c r="B31" s="22">
        <v>-3905</v>
      </c>
      <c r="C31" s="22">
        <v>-3926</v>
      </c>
      <c r="D31" s="22">
        <v>-2462</v>
      </c>
      <c r="E31" s="22">
        <v>-2174</v>
      </c>
      <c r="F31" s="22">
        <v>-2471</v>
      </c>
      <c r="G31" s="22">
        <v>-2983</v>
      </c>
      <c r="H31" s="22">
        <v>-2902</v>
      </c>
      <c r="I31" s="22">
        <v>-3388</v>
      </c>
      <c r="J31" s="22">
        <v>-2968</v>
      </c>
      <c r="K31" s="22">
        <v>-3047</v>
      </c>
      <c r="L31" s="22">
        <v>-3605</v>
      </c>
      <c r="M31" s="22">
        <v>-3609</v>
      </c>
    </row>
    <row r="32" spans="1:24" x14ac:dyDescent="0.2">
      <c r="A32" s="21" t="s">
        <v>116</v>
      </c>
      <c r="B32" s="22">
        <v>-1141</v>
      </c>
      <c r="C32" s="22">
        <v>-1323</v>
      </c>
      <c r="D32" s="22">
        <v>-1512</v>
      </c>
      <c r="E32" s="22">
        <v>-1702</v>
      </c>
      <c r="F32" s="22">
        <v>-1961</v>
      </c>
      <c r="G32" s="22">
        <v>-2243</v>
      </c>
      <c r="H32" s="22">
        <v>-3930</v>
      </c>
      <c r="I32" s="22">
        <v>-3651</v>
      </c>
      <c r="J32" s="22">
        <v>-2528</v>
      </c>
      <c r="K32" s="22">
        <v>-3091</v>
      </c>
      <c r="L32" s="22">
        <v>-4217</v>
      </c>
      <c r="M32" s="22">
        <v>-3850</v>
      </c>
    </row>
    <row r="33" spans="1:13" x14ac:dyDescent="0.2">
      <c r="A33" s="21" t="s">
        <v>117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-258</v>
      </c>
      <c r="I33" s="23">
        <v>-382</v>
      </c>
      <c r="J33" s="23">
        <v>-407</v>
      </c>
      <c r="K33" s="23">
        <v>-423</v>
      </c>
      <c r="L33" s="23">
        <v>-460</v>
      </c>
      <c r="M33" s="23">
        <v>-562</v>
      </c>
    </row>
    <row r="34" spans="1:13" ht="15.75" thickBot="1" x14ac:dyDescent="0.25">
      <c r="A34" s="21" t="s">
        <v>118</v>
      </c>
      <c r="B34" s="22">
        <v>6740</v>
      </c>
      <c r="C34" s="22">
        <v>1591</v>
      </c>
      <c r="D34" s="23">
        <v>685</v>
      </c>
      <c r="E34" s="22">
        <v>3482</v>
      </c>
      <c r="F34" s="22">
        <v>3813</v>
      </c>
      <c r="G34" s="22">
        <v>2481</v>
      </c>
      <c r="H34" s="23">
        <v>-682</v>
      </c>
      <c r="I34" s="23">
        <v>796</v>
      </c>
      <c r="J34" s="22">
        <v>-1020</v>
      </c>
      <c r="K34" s="23">
        <v>-613</v>
      </c>
      <c r="L34" s="22">
        <v>-13088</v>
      </c>
      <c r="M34" s="22">
        <v>-1196</v>
      </c>
    </row>
    <row r="35" spans="1:13" x14ac:dyDescent="0.2">
      <c r="A35" s="19" t="s">
        <v>119</v>
      </c>
      <c r="B35" s="24">
        <v>483</v>
      </c>
      <c r="C35" s="20">
        <v>1759</v>
      </c>
      <c r="D35" s="24">
        <v>-613</v>
      </c>
      <c r="E35" s="24">
        <v>-245</v>
      </c>
      <c r="F35" s="20">
        <v>3254</v>
      </c>
      <c r="G35" s="24">
        <v>-338</v>
      </c>
      <c r="H35" s="20">
        <v>4658</v>
      </c>
      <c r="I35" s="20">
        <v>2049</v>
      </c>
      <c r="J35" s="24">
        <v>397</v>
      </c>
      <c r="K35" s="20">
        <v>3156</v>
      </c>
      <c r="L35" s="20">
        <v>-4968</v>
      </c>
      <c r="M35" s="24">
        <v>228</v>
      </c>
    </row>
    <row r="46" spans="1:13" x14ac:dyDescent="0.2">
      <c r="B46" s="114" t="s">
        <v>259</v>
      </c>
      <c r="C46" s="114">
        <v>2026</v>
      </c>
      <c r="D46" s="114">
        <v>27</v>
      </c>
      <c r="E46" s="114">
        <v>28</v>
      </c>
      <c r="F46" s="114">
        <v>29</v>
      </c>
      <c r="G46" s="114">
        <v>30</v>
      </c>
      <c r="H46" s="114"/>
      <c r="I46" s="114"/>
      <c r="J46" s="114"/>
      <c r="K46" s="114"/>
    </row>
    <row r="47" spans="1:13" x14ac:dyDescent="0.2">
      <c r="B47" s="115" t="s">
        <v>37</v>
      </c>
      <c r="C47" s="116">
        <v>5.5199999999999999E-2</v>
      </c>
      <c r="D47" s="116">
        <v>5.6300000000000003E-2</v>
      </c>
      <c r="E47" s="116">
        <v>5.7299999999999997E-2</v>
      </c>
      <c r="F47" s="116">
        <v>5.8299999999999998E-2</v>
      </c>
      <c r="G47" s="116">
        <v>5.8999999999999997E-2</v>
      </c>
      <c r="H47" s="67"/>
      <c r="I47" s="116"/>
      <c r="J47" s="67"/>
      <c r="K47" s="116"/>
    </row>
    <row r="48" spans="1:13" x14ac:dyDescent="0.2">
      <c r="B48" s="115" t="s">
        <v>39</v>
      </c>
      <c r="C48" s="116">
        <v>-0.1472</v>
      </c>
      <c r="D48" s="116">
        <v>-0.14630000000000001</v>
      </c>
      <c r="E48" s="116">
        <v>-0.14710000000000001</v>
      </c>
      <c r="F48" s="116">
        <v>-0.14810000000000001</v>
      </c>
      <c r="G48" s="116">
        <v>-0.14879999999999999</v>
      </c>
      <c r="H48" s="67"/>
      <c r="I48" s="116"/>
      <c r="J48" s="67"/>
      <c r="K48" s="116"/>
    </row>
    <row r="49" spans="2:11" x14ac:dyDescent="0.2">
      <c r="B49" s="115" t="s">
        <v>42</v>
      </c>
      <c r="C49" s="116">
        <v>-2.9700000000000001E-2</v>
      </c>
      <c r="D49" s="116">
        <v>-0.03</v>
      </c>
      <c r="E49" s="116">
        <v>-3.0300000000000001E-2</v>
      </c>
      <c r="F49" s="116">
        <v>-3.0499999999999999E-2</v>
      </c>
      <c r="G49" s="116">
        <v>-3.0800000000000001E-2</v>
      </c>
      <c r="H49" s="67"/>
      <c r="I49" s="116"/>
      <c r="J49" s="67"/>
      <c r="K49" s="116"/>
    </row>
    <row r="50" spans="2:11" x14ac:dyDescent="0.2">
      <c r="B50" s="115" t="s">
        <v>44</v>
      </c>
      <c r="C50" s="116">
        <v>6.1899999999999997E-2</v>
      </c>
      <c r="D50" s="116">
        <v>6.1199999999999997E-2</v>
      </c>
      <c r="E50" s="116">
        <v>6.08E-2</v>
      </c>
      <c r="F50" s="116">
        <v>6.0299999999999999E-2</v>
      </c>
      <c r="G50" s="116">
        <v>5.9900000000000002E-2</v>
      </c>
      <c r="H50" s="67"/>
      <c r="I50" s="116"/>
      <c r="J50" s="67"/>
      <c r="K50" s="116"/>
    </row>
    <row r="51" spans="2:11" x14ac:dyDescent="0.2">
      <c r="B51" s="115" t="s">
        <v>38</v>
      </c>
      <c r="C51" s="116">
        <v>0.25059999999999999</v>
      </c>
      <c r="D51" s="116">
        <v>0.25069999999999998</v>
      </c>
      <c r="E51" s="116">
        <v>0.25080000000000002</v>
      </c>
      <c r="F51" s="116">
        <v>0.25090000000000001</v>
      </c>
      <c r="G51" s="116">
        <v>0.25109999999999999</v>
      </c>
      <c r="H51" s="67"/>
      <c r="I51" s="116"/>
      <c r="J51" s="67"/>
      <c r="K51" s="116"/>
    </row>
    <row r="52" spans="2:11" x14ac:dyDescent="0.2">
      <c r="B52" s="115" t="s">
        <v>40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67"/>
      <c r="I52" s="116"/>
      <c r="J52" s="67"/>
      <c r="K52" s="116"/>
    </row>
    <row r="53" spans="2:11" x14ac:dyDescent="0.2">
      <c r="B53" t="s">
        <v>41</v>
      </c>
      <c r="C53" s="113">
        <f>D75</f>
        <v>8.6E-3</v>
      </c>
      <c r="D53" s="113">
        <f>E75</f>
        <v>8.6E-3</v>
      </c>
      <c r="E53" s="113">
        <f>F75</f>
        <v>8.6E-3</v>
      </c>
      <c r="F53" s="113">
        <f>G75</f>
        <v>8.6E-3</v>
      </c>
      <c r="G53" s="113">
        <f>H75</f>
        <v>8.6E-3</v>
      </c>
      <c r="H53" s="67"/>
      <c r="I53" s="116"/>
      <c r="J53" s="67"/>
      <c r="K53" s="116"/>
    </row>
    <row r="54" spans="2:11" x14ac:dyDescent="0.2">
      <c r="B54" s="115" t="s">
        <v>43</v>
      </c>
      <c r="C54" s="116">
        <v>0.14810000000000001</v>
      </c>
      <c r="D54" s="116">
        <v>0.1623</v>
      </c>
      <c r="E54" s="116">
        <v>0.16339999999999999</v>
      </c>
      <c r="F54" s="116">
        <v>0.16309999999999999</v>
      </c>
      <c r="G54" s="116">
        <v>0.1613</v>
      </c>
      <c r="H54" s="67"/>
      <c r="I54" s="116"/>
      <c r="J54" s="67"/>
      <c r="K54" s="116"/>
    </row>
    <row r="55" spans="2:11" x14ac:dyDescent="0.2">
      <c r="B55" t="s">
        <v>257</v>
      </c>
      <c r="C55" s="113">
        <v>-3.4700000000000002E-2</v>
      </c>
      <c r="D55" s="113">
        <v>-3.4700000000000002E-2</v>
      </c>
      <c r="E55" s="113">
        <v>-3.4700000000000002E-2</v>
      </c>
      <c r="F55" s="113">
        <v>-3.4700000000000002E-2</v>
      </c>
      <c r="G55" s="113">
        <v>-3.4700000000000002E-2</v>
      </c>
    </row>
    <row r="56" spans="2:11" x14ac:dyDescent="0.2">
      <c r="B56" t="s">
        <v>46</v>
      </c>
      <c r="C56" s="113">
        <v>0.11310000000000001</v>
      </c>
      <c r="D56" s="113">
        <v>0.11310000000000001</v>
      </c>
      <c r="E56" s="113">
        <v>0.11310000000000001</v>
      </c>
      <c r="F56" s="113">
        <v>0.11310000000000001</v>
      </c>
      <c r="G56" s="113">
        <v>0.11310000000000001</v>
      </c>
    </row>
    <row r="57" spans="2:11" x14ac:dyDescent="0.2">
      <c r="B57" t="s">
        <v>47</v>
      </c>
      <c r="C57" s="113">
        <v>4.53E-2</v>
      </c>
      <c r="D57" s="113">
        <v>4.53E-2</v>
      </c>
      <c r="E57" s="113">
        <v>4.53E-2</v>
      </c>
      <c r="F57" s="113">
        <v>4.53E-2</v>
      </c>
      <c r="G57" s="113">
        <v>4.53E-2</v>
      </c>
    </row>
    <row r="58" spans="2:11" x14ac:dyDescent="0.2">
      <c r="B58" t="s">
        <v>48</v>
      </c>
      <c r="C58" s="113">
        <v>0.1913</v>
      </c>
      <c r="D58" s="113">
        <v>0.1913</v>
      </c>
      <c r="E58" s="113">
        <v>0.1913</v>
      </c>
      <c r="F58" s="113">
        <v>0.1913</v>
      </c>
      <c r="G58" s="113">
        <v>0.1913</v>
      </c>
    </row>
    <row r="59" spans="2:11" x14ac:dyDescent="0.2">
      <c r="B59" t="s">
        <v>49</v>
      </c>
      <c r="C59" s="113">
        <v>7.0199999999999999E-2</v>
      </c>
      <c r="D59" s="113">
        <v>7.0199999999999999E-2</v>
      </c>
      <c r="E59" s="113">
        <v>7.0199999999999999E-2</v>
      </c>
      <c r="F59" s="113">
        <v>7.0199999999999999E-2</v>
      </c>
      <c r="G59" s="113">
        <v>7.0199999999999999E-2</v>
      </c>
    </row>
    <row r="60" spans="2:11" x14ac:dyDescent="0.2">
      <c r="B60" t="s">
        <v>50</v>
      </c>
      <c r="C60" s="113">
        <v>8.8999999999999996E-2</v>
      </c>
      <c r="D60" s="113">
        <v>8.8999999999999996E-2</v>
      </c>
      <c r="E60" s="113">
        <v>8.8999999999999996E-2</v>
      </c>
      <c r="F60" s="113">
        <v>8.8999999999999996E-2</v>
      </c>
      <c r="G60" s="113">
        <v>8.8999999999999996E-2</v>
      </c>
    </row>
    <row r="61" spans="2:11" x14ac:dyDescent="0.2">
      <c r="B61" t="s">
        <v>51</v>
      </c>
      <c r="C61" s="113">
        <v>0.1265</v>
      </c>
      <c r="D61" s="113">
        <v>0.1265</v>
      </c>
      <c r="E61" s="113">
        <v>0.1265</v>
      </c>
      <c r="F61" s="113">
        <v>0.1265</v>
      </c>
      <c r="G61" s="113">
        <v>0.1265</v>
      </c>
    </row>
    <row r="62" spans="2:11" x14ac:dyDescent="0.2">
      <c r="B62" t="s">
        <v>52</v>
      </c>
      <c r="C62" s="113">
        <v>-0.18229999999999999</v>
      </c>
      <c r="D62" s="113">
        <v>-0.18229999999999999</v>
      </c>
      <c r="E62" s="113">
        <v>-0.18229999999999999</v>
      </c>
      <c r="F62" s="113">
        <v>-0.18229999999999999</v>
      </c>
      <c r="G62" s="113">
        <v>-0.18229999999999999</v>
      </c>
    </row>
    <row r="69" spans="3:8" x14ac:dyDescent="0.2">
      <c r="C69" t="s">
        <v>37</v>
      </c>
      <c r="D69" s="113">
        <v>5.5399999999999998E-2</v>
      </c>
      <c r="E69" s="113">
        <v>5.5399999999999998E-2</v>
      </c>
      <c r="F69" s="113">
        <v>5.5399999999999998E-2</v>
      </c>
      <c r="G69" s="113">
        <v>5.5399999999999998E-2</v>
      </c>
      <c r="H69" s="113">
        <v>5.5399999999999998E-2</v>
      </c>
    </row>
    <row r="70" spans="3:8" x14ac:dyDescent="0.2">
      <c r="C70" t="s">
        <v>39</v>
      </c>
      <c r="D70" s="113">
        <v>-0.24940000000000001</v>
      </c>
      <c r="E70" s="113">
        <v>-0.24940000000000001</v>
      </c>
      <c r="F70" s="113">
        <v>-0.24940000000000001</v>
      </c>
      <c r="G70" s="113">
        <v>-0.24940000000000001</v>
      </c>
      <c r="H70" s="113">
        <v>-0.24940000000000001</v>
      </c>
    </row>
    <row r="71" spans="3:8" x14ac:dyDescent="0.2">
      <c r="C71" t="s">
        <v>42</v>
      </c>
      <c r="D71" s="113">
        <v>-2.92E-2</v>
      </c>
      <c r="E71" s="113">
        <v>-2.92E-2</v>
      </c>
      <c r="F71" s="113">
        <v>-2.92E-2</v>
      </c>
      <c r="G71" s="113">
        <v>-2.92E-2</v>
      </c>
      <c r="H71" s="113">
        <v>-2.92E-2</v>
      </c>
    </row>
    <row r="72" spans="3:8" x14ac:dyDescent="0.2">
      <c r="C72" t="s">
        <v>44</v>
      </c>
      <c r="D72" s="113">
        <v>9.1499999999999998E-2</v>
      </c>
      <c r="E72" s="113">
        <v>9.1499999999999998E-2</v>
      </c>
      <c r="F72" s="113">
        <v>9.1499999999999998E-2</v>
      </c>
      <c r="G72" s="113">
        <v>9.1499999999999998E-2</v>
      </c>
      <c r="H72" s="113">
        <v>9.1499999999999998E-2</v>
      </c>
    </row>
    <row r="73" spans="3:8" x14ac:dyDescent="0.2">
      <c r="C73" t="s">
        <v>38</v>
      </c>
      <c r="D73" s="113">
        <v>0.57520000000000004</v>
      </c>
      <c r="E73" s="113">
        <v>0.57520000000000004</v>
      </c>
      <c r="F73" s="113">
        <v>0.57520000000000004</v>
      </c>
      <c r="G73" s="113">
        <v>0.57520000000000004</v>
      </c>
      <c r="H73" s="113">
        <v>0.57520000000000004</v>
      </c>
    </row>
    <row r="74" spans="3:8" x14ac:dyDescent="0.2">
      <c r="C74" t="s">
        <v>40</v>
      </c>
      <c r="D74" s="113">
        <v>0.96689999999999998</v>
      </c>
      <c r="E74" s="113">
        <v>0.96689999999999998</v>
      </c>
      <c r="F74" s="113">
        <v>0.96689999999999998</v>
      </c>
      <c r="G74" s="113">
        <v>0.96689999999999998</v>
      </c>
      <c r="H74" s="113">
        <v>0.96689999999999998</v>
      </c>
    </row>
    <row r="75" spans="3:8" x14ac:dyDescent="0.2">
      <c r="C75" t="s">
        <v>41</v>
      </c>
      <c r="D75" s="113">
        <v>8.6E-3</v>
      </c>
      <c r="E75" s="113">
        <v>8.6E-3</v>
      </c>
      <c r="F75" s="113">
        <v>8.6E-3</v>
      </c>
      <c r="G75" s="113">
        <v>8.6E-3</v>
      </c>
      <c r="H75" s="113">
        <v>8.6E-3</v>
      </c>
    </row>
    <row r="76" spans="3:8" x14ac:dyDescent="0.2">
      <c r="C76" t="s">
        <v>43</v>
      </c>
      <c r="D76" s="113">
        <v>0.15279999999999999</v>
      </c>
      <c r="E76" s="113">
        <v>0.15279999999999999</v>
      </c>
      <c r="F76" s="113">
        <v>0.15279999999999999</v>
      </c>
      <c r="G76" s="113">
        <v>0.15279999999999999</v>
      </c>
      <c r="H76" s="113">
        <v>0.15279999999999999</v>
      </c>
    </row>
    <row r="77" spans="3:8" x14ac:dyDescent="0.2">
      <c r="C77" t="s">
        <v>257</v>
      </c>
      <c r="D77" t="s">
        <v>258</v>
      </c>
      <c r="E77" s="113">
        <v>-3.4700000000000002E-2</v>
      </c>
      <c r="F77" s="113">
        <v>-3.4700000000000002E-2</v>
      </c>
      <c r="G77" s="113">
        <v>-3.4700000000000002E-2</v>
      </c>
      <c r="H77" s="113">
        <v>-3.4700000000000002E-2</v>
      </c>
    </row>
    <row r="78" spans="3:8" x14ac:dyDescent="0.2">
      <c r="C78" t="s">
        <v>46</v>
      </c>
      <c r="D78" s="113">
        <v>0.11310000000000001</v>
      </c>
      <c r="E78" s="113">
        <v>0.11310000000000001</v>
      </c>
      <c r="F78" s="113">
        <v>0.11310000000000001</v>
      </c>
      <c r="G78" s="113">
        <v>0.11310000000000001</v>
      </c>
      <c r="H78" s="113">
        <v>0.11310000000000001</v>
      </c>
    </row>
    <row r="79" spans="3:8" x14ac:dyDescent="0.2">
      <c r="C79" t="s">
        <v>47</v>
      </c>
      <c r="D79" s="113">
        <v>4.53E-2</v>
      </c>
      <c r="E79" s="113">
        <v>4.53E-2</v>
      </c>
      <c r="F79" s="113">
        <v>4.53E-2</v>
      </c>
      <c r="G79" s="113">
        <v>4.53E-2</v>
      </c>
      <c r="H79" s="113">
        <v>4.53E-2</v>
      </c>
    </row>
    <row r="80" spans="3:8" x14ac:dyDescent="0.2">
      <c r="C80" t="s">
        <v>48</v>
      </c>
      <c r="D80" s="113">
        <v>0.1913</v>
      </c>
      <c r="E80" s="113">
        <v>0.1913</v>
      </c>
      <c r="F80" s="113">
        <v>0.1913</v>
      </c>
      <c r="G80" s="113">
        <v>0.1913</v>
      </c>
      <c r="H80" s="113">
        <v>0.1913</v>
      </c>
    </row>
    <row r="81" spans="3:8" x14ac:dyDescent="0.2">
      <c r="C81" t="s">
        <v>49</v>
      </c>
      <c r="D81" s="113">
        <v>7.0199999999999999E-2</v>
      </c>
      <c r="E81" s="113">
        <v>7.0199999999999999E-2</v>
      </c>
      <c r="F81" s="113">
        <v>7.0199999999999999E-2</v>
      </c>
      <c r="G81" s="113">
        <v>7.0199999999999999E-2</v>
      </c>
      <c r="H81" s="113">
        <v>7.0199999999999999E-2</v>
      </c>
    </row>
    <row r="82" spans="3:8" x14ac:dyDescent="0.2">
      <c r="C82" t="s">
        <v>50</v>
      </c>
      <c r="D82" s="113">
        <v>8.8999999999999996E-2</v>
      </c>
      <c r="E82" s="113">
        <v>8.8999999999999996E-2</v>
      </c>
      <c r="F82" s="113">
        <v>8.8999999999999996E-2</v>
      </c>
      <c r="G82" s="113">
        <v>8.8999999999999996E-2</v>
      </c>
      <c r="H82" s="113">
        <v>8.8999999999999996E-2</v>
      </c>
    </row>
    <row r="83" spans="3:8" x14ac:dyDescent="0.2">
      <c r="C83" t="s">
        <v>51</v>
      </c>
      <c r="D83" s="113">
        <v>0.1265</v>
      </c>
      <c r="E83" s="113">
        <v>0.1265</v>
      </c>
      <c r="F83" s="113">
        <v>0.1265</v>
      </c>
      <c r="G83" s="113">
        <v>0.1265</v>
      </c>
      <c r="H83" s="113">
        <v>0.1265</v>
      </c>
    </row>
    <row r="84" spans="3:8" x14ac:dyDescent="0.2">
      <c r="C84" t="s">
        <v>52</v>
      </c>
      <c r="D84" s="113">
        <v>-0.18229999999999999</v>
      </c>
      <c r="E84" s="113">
        <v>-0.18229999999999999</v>
      </c>
      <c r="F84" s="113">
        <v>-0.18229999999999999</v>
      </c>
      <c r="G84" s="113">
        <v>-0.18229999999999999</v>
      </c>
      <c r="H84" s="113">
        <v>-0.18229999999999999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p&amp;L drivers</vt:lpstr>
      <vt:lpstr>bs drivers</vt:lpstr>
      <vt:lpstr>forcast</vt:lpstr>
      <vt:lpstr>3 statement model-&gt;</vt:lpstr>
      <vt:lpstr>income statement</vt:lpstr>
      <vt:lpstr>cashflow1</vt:lpstr>
      <vt:lpstr>balance sheet1</vt:lpstr>
      <vt:lpstr>valuation-&gt;</vt:lpstr>
      <vt:lpstr>wacc</vt:lpstr>
      <vt:lpstr>dcf</vt:lpstr>
      <vt:lpstr>cca</vt:lpstr>
      <vt:lpstr>raw data -&gt;</vt:lpstr>
      <vt:lpstr>p&amp;l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 negi</dc:creator>
  <cp:lastModifiedBy>ishant negi</cp:lastModifiedBy>
  <cp:lastPrinted>2025-11-30T16:24:06Z</cp:lastPrinted>
  <dcterms:created xsi:type="dcterms:W3CDTF">2025-11-23T14:19:50Z</dcterms:created>
  <dcterms:modified xsi:type="dcterms:W3CDTF">2025-12-15T16:04:13Z</dcterms:modified>
</cp:coreProperties>
</file>